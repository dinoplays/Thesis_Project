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BFB8B666-B217-2B43-9613-30EC78D0D50C}" xr6:coauthVersionLast="47" xr6:coauthVersionMax="47" xr10:uidLastSave="{00000000-0000-0000-0000-000000000000}"/>
  <bookViews>
    <workbookView xWindow="0" yWindow="660" windowWidth="30240" windowHeight="1776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8" i="1" l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12" i="1"/>
  <c r="L8" i="1"/>
  <c r="L9" i="1"/>
  <c r="L10" i="1"/>
  <c r="L7" i="1"/>
  <c r="L4" i="1"/>
  <c r="L5" i="1"/>
  <c r="L3" i="1"/>
  <c r="H68" i="1"/>
  <c r="D68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12" i="1"/>
  <c r="H5" i="1"/>
  <c r="H4" i="1"/>
  <c r="D27" i="1"/>
  <c r="D26" i="1"/>
  <c r="D25" i="1"/>
  <c r="D24" i="1"/>
  <c r="D23" i="1"/>
  <c r="D22" i="1"/>
  <c r="D21" i="1"/>
  <c r="D20" i="1"/>
  <c r="D19" i="1"/>
  <c r="D18" i="1"/>
  <c r="G47" i="1"/>
  <c r="K47" i="1" s="1"/>
  <c r="G48" i="1"/>
  <c r="K48" i="1" s="1"/>
  <c r="G49" i="1"/>
  <c r="K49" i="1" s="1"/>
  <c r="G50" i="1"/>
  <c r="K50" i="1" s="1"/>
  <c r="G51" i="1"/>
  <c r="K51" i="1" s="1"/>
  <c r="G52" i="1"/>
  <c r="K52" i="1" s="1"/>
  <c r="G53" i="1"/>
  <c r="K53" i="1" s="1"/>
  <c r="G54" i="1"/>
  <c r="K54" i="1" s="1"/>
  <c r="G55" i="1"/>
  <c r="K55" i="1" s="1"/>
  <c r="G56" i="1"/>
  <c r="K56" i="1" s="1"/>
  <c r="G57" i="1"/>
  <c r="K57" i="1" s="1"/>
  <c r="G34" i="1"/>
  <c r="K34" i="1" s="1"/>
  <c r="G35" i="1"/>
  <c r="K35" i="1" s="1"/>
  <c r="G36" i="1"/>
  <c r="K36" i="1" s="1"/>
  <c r="G37" i="1"/>
  <c r="G38" i="1"/>
  <c r="K38" i="1" s="1"/>
  <c r="G39" i="1"/>
  <c r="K39" i="1" s="1"/>
  <c r="G40" i="1"/>
  <c r="K40" i="1" s="1"/>
  <c r="G41" i="1"/>
  <c r="K41" i="1" s="1"/>
  <c r="G42" i="1"/>
  <c r="K42" i="1" s="1"/>
  <c r="G43" i="1"/>
  <c r="K43" i="1" s="1"/>
  <c r="G44" i="1"/>
  <c r="K44" i="1" s="1"/>
  <c r="B66" i="1"/>
  <c r="E67" i="1" s="1"/>
  <c r="B67" i="1" l="1"/>
  <c r="B64" i="1"/>
  <c r="K63" i="1"/>
  <c r="K62" i="1"/>
  <c r="K61" i="1"/>
  <c r="K60" i="1"/>
  <c r="E27" i="1"/>
  <c r="E26" i="1"/>
  <c r="E25" i="1"/>
  <c r="E24" i="1"/>
  <c r="E23" i="1"/>
  <c r="E22" i="1"/>
  <c r="E21" i="1"/>
  <c r="E20" i="1"/>
  <c r="E19" i="1"/>
  <c r="E18" i="1"/>
  <c r="C27" i="1"/>
  <c r="C26" i="1"/>
  <c r="C25" i="1"/>
  <c r="C24" i="1"/>
  <c r="C23" i="1"/>
  <c r="C22" i="1"/>
  <c r="C21" i="1"/>
  <c r="C20" i="1"/>
  <c r="C19" i="1"/>
  <c r="C18" i="1"/>
  <c r="B27" i="1"/>
  <c r="B26" i="1"/>
  <c r="B25" i="1"/>
  <c r="B24" i="1"/>
  <c r="B23" i="1"/>
  <c r="G23" i="1" s="1"/>
  <c r="K23" i="1" s="1"/>
  <c r="B22" i="1"/>
  <c r="B21" i="1"/>
  <c r="B20" i="1"/>
  <c r="B19" i="1"/>
  <c r="B18" i="1"/>
  <c r="G46" i="1"/>
  <c r="K46" i="1" s="1"/>
  <c r="G33" i="1"/>
  <c r="K33" i="1" s="1"/>
  <c r="G4" i="1"/>
  <c r="K4" i="1" s="1"/>
  <c r="I4" i="1"/>
  <c r="M4" i="1" s="1"/>
  <c r="G5" i="1"/>
  <c r="K5" i="1" s="1"/>
  <c r="I5" i="1"/>
  <c r="M5" i="1" s="1"/>
  <c r="G7" i="1"/>
  <c r="K7" i="1" s="1"/>
  <c r="H7" i="1"/>
  <c r="G8" i="1"/>
  <c r="K8" i="1" s="1"/>
  <c r="H8" i="1"/>
  <c r="G9" i="1"/>
  <c r="K9" i="1" s="1"/>
  <c r="H9" i="1"/>
  <c r="G10" i="1"/>
  <c r="K10" i="1" s="1"/>
  <c r="H10" i="1"/>
  <c r="G12" i="1"/>
  <c r="K12" i="1" s="1"/>
  <c r="I12" i="1"/>
  <c r="M12" i="1" s="1"/>
  <c r="G13" i="1"/>
  <c r="K13" i="1" s="1"/>
  <c r="I13" i="1"/>
  <c r="M13" i="1" s="1"/>
  <c r="G14" i="1"/>
  <c r="K14" i="1" s="1"/>
  <c r="I14" i="1"/>
  <c r="M14" i="1" s="1"/>
  <c r="G15" i="1"/>
  <c r="K15" i="1" s="1"/>
  <c r="I15" i="1"/>
  <c r="M15" i="1" s="1"/>
  <c r="G16" i="1"/>
  <c r="K16" i="1" s="1"/>
  <c r="I16" i="1"/>
  <c r="M16" i="1" s="1"/>
  <c r="G17" i="1"/>
  <c r="K17" i="1" s="1"/>
  <c r="I17" i="1"/>
  <c r="M17" i="1" s="1"/>
  <c r="G28" i="1"/>
  <c r="K28" i="1" s="1"/>
  <c r="I28" i="1"/>
  <c r="M28" i="1" s="1"/>
  <c r="G29" i="1"/>
  <c r="K29" i="1" s="1"/>
  <c r="I29" i="1"/>
  <c r="M29" i="1" s="1"/>
  <c r="G30" i="1"/>
  <c r="K30" i="1" s="1"/>
  <c r="I30" i="1"/>
  <c r="M30" i="1" s="1"/>
  <c r="G31" i="1"/>
  <c r="K31" i="1" s="1"/>
  <c r="I31" i="1"/>
  <c r="M31" i="1" s="1"/>
  <c r="I3" i="1"/>
  <c r="M3" i="1" s="1"/>
  <c r="K3" i="1"/>
  <c r="I20" i="1" l="1"/>
  <c r="M20" i="1" s="1"/>
  <c r="I23" i="1"/>
  <c r="M23" i="1" s="1"/>
  <c r="I24" i="1"/>
  <c r="M24" i="1" s="1"/>
  <c r="G22" i="1"/>
  <c r="K22" i="1" s="1"/>
  <c r="I25" i="1"/>
  <c r="M25" i="1" s="1"/>
  <c r="I18" i="1"/>
  <c r="M18" i="1" s="1"/>
  <c r="G27" i="1"/>
  <c r="K27" i="1" s="1"/>
  <c r="I21" i="1"/>
  <c r="M21" i="1" s="1"/>
  <c r="G20" i="1"/>
  <c r="K20" i="1" s="1"/>
  <c r="I22" i="1"/>
  <c r="M22" i="1" s="1"/>
  <c r="I27" i="1"/>
  <c r="M27" i="1" s="1"/>
  <c r="I26" i="1"/>
  <c r="M26" i="1" s="1"/>
  <c r="I19" i="1"/>
  <c r="M19" i="1" s="1"/>
  <c r="G24" i="1"/>
  <c r="K24" i="1" s="1"/>
  <c r="G18" i="1"/>
  <c r="K18" i="1" s="1"/>
  <c r="G25" i="1"/>
  <c r="K25" i="1" s="1"/>
  <c r="G26" i="1"/>
  <c r="K26" i="1" s="1"/>
  <c r="B65" i="1"/>
  <c r="E65" i="1"/>
  <c r="G21" i="1"/>
  <c r="K21" i="1" s="1"/>
  <c r="G19" i="1"/>
  <c r="K19" i="1" s="1"/>
  <c r="K64" i="1"/>
  <c r="I67" i="1"/>
  <c r="M67" i="1" s="1"/>
  <c r="K66" i="1"/>
  <c r="E69" i="1" l="1"/>
  <c r="E68" i="1"/>
  <c r="B68" i="1"/>
  <c r="B69" i="1"/>
  <c r="C68" i="1"/>
  <c r="I65" i="1"/>
  <c r="M65" i="1" s="1"/>
  <c r="G68" i="1" l="1"/>
  <c r="K68" i="1" s="1"/>
  <c r="I69" i="1"/>
  <c r="M69" i="1" s="1"/>
  <c r="I68" i="1"/>
  <c r="M68" i="1" s="1"/>
</calcChain>
</file>

<file path=xl/sharedStrings.xml><?xml version="1.0" encoding="utf-8"?>
<sst xmlns="http://schemas.openxmlformats.org/spreadsheetml/2006/main" count="78" uniqueCount="72">
  <si>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</si>
  <si>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</si>
  <si>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</si>
  <si>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</si>
  <si>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</si>
  <si>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</si>
  <si>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</si>
  <si>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</si>
  <si>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</si>
  <si>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</si>
  <si>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</si>
  <si>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</si>
  <si>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</si>
  <si>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</si>
  <si>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</si>
  <si>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</si>
  <si>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</si>
  <si>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</si>
  <si>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</si>
  <si>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</si>
  <si>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</si>
  <si>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</si>
  <si>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</si>
  <si>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</si>
  <si>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</si>
  <si>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</si>
  <si>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</si>
  <si>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</si>
  <si>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</si>
  <si>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</si>
  <si>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</si>
  <si>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</si>
  <si>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</si>
  <si>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</si>
  <si>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</si>
  <si>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</si>
  <si>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</si>
  <si>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</si>
  <si>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</si>
  <si>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</si>
  <si>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</si>
  <si>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</si>
  <si>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Pixels (Out Of 14400)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</si>
  <si>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</si>
  <si>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</si>
  <si>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</si>
  <si>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</si>
  <si>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</si>
  <si>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</si>
  <si>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</si>
  <si>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</si>
  <si>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</si>
  <si>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</si>
  <si>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</si>
  <si>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Pixels (Out Of 14400)</t>
  </si>
  <si>
    <t>Disparity Exact Match Fraction</t>
  </si>
  <si>
    <t>inf</t>
  </si>
  <si>
    <t>Change From Standard</t>
  </si>
  <si>
    <t>% Change From Standard</t>
  </si>
  <si>
    <t>First Pixel In</t>
  </si>
  <si>
    <t>Last Pixel In</t>
  </si>
  <si>
    <t>First Pixel Out</t>
  </si>
  <si>
    <t>Last Pixel Out</t>
  </si>
  <si>
    <t>Input To Output Programmed Latency (Clock Cycles)</t>
  </si>
  <si>
    <t>Input To Output Programmed Latency (ms)</t>
  </si>
  <si>
    <t>Computation Programmed Latency (Clock Cycles)</t>
  </si>
  <si>
    <t>Computation Programmed Latency (us)</t>
  </si>
  <si>
    <t>Programmed Energy Per Frame (uJ)</t>
  </si>
  <si>
    <t>17x64x64</t>
  </si>
  <si>
    <t>Light Field Dimensions (Sub-Apertures, Length, Width)</t>
  </si>
  <si>
    <t>Max Throughput (FPS)</t>
  </si>
  <si>
    <t>Bit Manipulation Throttled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</si>
</sst>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Fill="1" applyAlignment="1">
      <alignment horizontal="center"/>
    </xf>
    <xf numFmtId="9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70"/>
  <sheetViews>
    <sheetView tabSelected="1" zoomScale="110" zoomScaleNormal="110" workbookViewId="0">
      <pane xSplit="1" ySplit="2" topLeftCell="G50" activePane="bottomRight" state="frozen"/>
      <selection pane="topRight" activeCell="B1" sqref="B1"/>
      <selection pane="bottomLeft" activeCell="A3" sqref="A3"/>
      <selection pane="bottomRight" activeCell="K69" sqref="K69:L69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3" t="s">
        <v>4</v>
      </c>
      <c r="B1" s="13" t="s">
        <v>0</v>
      </c>
      <c r="C1" s="13"/>
      <c r="D1" s="13"/>
      <c r="E1" s="13"/>
      <c r="F1" s="6"/>
      <c r="G1" s="10" t="s">
        <v>57</v>
      </c>
      <c r="H1" s="10"/>
      <c r="I1" s="10"/>
      <c r="J1" s="6"/>
      <c r="K1" s="10" t="s">
        <v>58</v>
      </c>
      <c r="L1" s="10"/>
      <c r="M1" s="10"/>
      <c r="N1" s="6"/>
    </row>
    <row r="2" spans="1:14" x14ac:dyDescent="0.2">
      <c r="A2" s="13"/>
      <c r="B2" s="2" t="s">
        <v>1</v>
      </c>
      <c r="C2" s="2" t="s">
        <v>2</v>
      </c>
      <c r="D2" s="14" t="s">
        <v>71</v>
      </c>
      <c r="E2" s="2" t="s">
        <v>3</v>
      </c>
      <c r="F2" s="6"/>
      <c r="G2" s="2" t="s">
        <v>2</v>
      </c>
      <c r="H2" s="14" t="s">
        <v>71</v>
      </c>
      <c r="I2" s="2" t="s">
        <v>3</v>
      </c>
      <c r="J2" s="6"/>
      <c r="K2" s="2" t="s">
        <v>2</v>
      </c>
      <c r="L2" s="14" t="s">
        <v>71</v>
      </c>
      <c r="M2" s="2" t="s">
        <v>3</v>
      </c>
      <c r="N2" s="6"/>
    </row>
    <row r="3" spans="1:14" x14ac:dyDescent="0.2">
      <c r="A3" s="3" t="s">
        <v>10</v>
      </c>
      <c r="B3" s="10">
        <v>75</v>
      </c>
      <c r="C3" s="10"/>
      <c r="D3" s="10"/>
      <c r="E3" s="1">
        <v>195</v>
      </c>
      <c r="F3" s="6"/>
      <c r="G3" s="10">
        <v>0</v>
      </c>
      <c r="H3" s="10"/>
      <c r="I3" s="1">
        <f>E3-B3</f>
        <v>120</v>
      </c>
      <c r="J3" s="6"/>
      <c r="K3" s="5">
        <f>G3/B3</f>
        <v>0</v>
      </c>
      <c r="L3" s="5">
        <f>H3/B3</f>
        <v>0</v>
      </c>
      <c r="M3" s="5">
        <f>I3/B3</f>
        <v>1.6</v>
      </c>
      <c r="N3" s="6"/>
    </row>
    <row r="4" spans="1:14" x14ac:dyDescent="0.2">
      <c r="A4" s="3" t="s">
        <v>8</v>
      </c>
      <c r="B4" s="1">
        <v>0.53900000000000003</v>
      </c>
      <c r="C4" s="1">
        <v>4.9029999999999996</v>
      </c>
      <c r="D4" s="1">
        <v>8.2050000000000001</v>
      </c>
      <c r="E4" s="1">
        <v>0</v>
      </c>
      <c r="F4" s="6"/>
      <c r="G4" s="1">
        <f>C4-B4</f>
        <v>4.3639999999999999</v>
      </c>
      <c r="H4" s="1">
        <f>D4-B4</f>
        <v>7.6660000000000004</v>
      </c>
      <c r="I4" s="1">
        <f>E4-B4</f>
        <v>-0.53900000000000003</v>
      </c>
      <c r="J4" s="6"/>
      <c r="K4" s="5">
        <f>G4/B4</f>
        <v>8.0964749536178093</v>
      </c>
      <c r="L4" s="5">
        <f t="shared" ref="L4:L5" si="0">H4/B4</f>
        <v>14.222634508348794</v>
      </c>
      <c r="M4" s="5">
        <f>I4/B4</f>
        <v>-1</v>
      </c>
      <c r="N4" s="6"/>
    </row>
    <row r="5" spans="1:14" x14ac:dyDescent="0.2">
      <c r="A5" s="3" t="s">
        <v>9</v>
      </c>
      <c r="B5" s="1">
        <v>78.16</v>
      </c>
      <c r="C5" s="1">
        <v>118.62</v>
      </c>
      <c r="D5" s="1">
        <v>195.01</v>
      </c>
      <c r="E5" s="1">
        <v>195.01</v>
      </c>
      <c r="F5" s="6"/>
      <c r="G5" s="1">
        <f>C5-B5</f>
        <v>40.460000000000008</v>
      </c>
      <c r="H5" s="1">
        <f>D5-B5</f>
        <v>116.85</v>
      </c>
      <c r="I5" s="1">
        <f>E5-B5</f>
        <v>116.85</v>
      </c>
      <c r="J5" s="6"/>
      <c r="K5" s="5">
        <f>G5/B5</f>
        <v>0.51765609007164803</v>
      </c>
      <c r="L5" s="5">
        <f t="shared" si="0"/>
        <v>1.4950102354145343</v>
      </c>
      <c r="M5" s="5">
        <f>I5/B5</f>
        <v>1.4950102354145343</v>
      </c>
      <c r="N5" s="6"/>
    </row>
    <row r="6" spans="1:14" x14ac:dyDescent="0.2">
      <c r="A6" s="7"/>
      <c r="B6" s="8"/>
      <c r="C6" s="8"/>
      <c r="D6" s="8"/>
      <c r="E6" s="8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27427</v>
      </c>
      <c r="C7" s="1">
        <v>27017</v>
      </c>
      <c r="D7" s="10">
        <v>27138</v>
      </c>
      <c r="E7" s="10"/>
      <c r="F7" s="6"/>
      <c r="G7" s="1">
        <f>C7-B7</f>
        <v>-410</v>
      </c>
      <c r="H7" s="10">
        <f>D7-B7</f>
        <v>-289</v>
      </c>
      <c r="I7" s="10"/>
      <c r="J7" s="6"/>
      <c r="K7" s="5">
        <f>G7/B7</f>
        <v>-1.4948773106792577E-2</v>
      </c>
      <c r="L7" s="9">
        <f>H7/B7</f>
        <v>-1.0537062019178181E-2</v>
      </c>
      <c r="M7" s="9"/>
      <c r="N7" s="6"/>
    </row>
    <row r="8" spans="1:14" x14ac:dyDescent="0.2">
      <c r="A8" s="3" t="s">
        <v>6</v>
      </c>
      <c r="B8" s="1">
        <v>64117</v>
      </c>
      <c r="C8" s="1">
        <v>65117</v>
      </c>
      <c r="D8" s="10">
        <v>73446</v>
      </c>
      <c r="E8" s="10"/>
      <c r="F8" s="6"/>
      <c r="G8" s="1">
        <f>C8-B8</f>
        <v>1000</v>
      </c>
      <c r="H8" s="10">
        <f>D8-B8</f>
        <v>9329</v>
      </c>
      <c r="I8" s="10"/>
      <c r="J8" s="6"/>
      <c r="K8" s="5">
        <f>G8/B8</f>
        <v>1.5596487670976496E-2</v>
      </c>
      <c r="L8" s="9">
        <f t="shared" ref="L8:L31" si="1">H8/B8</f>
        <v>0.14549963348253972</v>
      </c>
      <c r="M8" s="9"/>
      <c r="N8" s="6"/>
    </row>
    <row r="9" spans="1:14" x14ac:dyDescent="0.2">
      <c r="A9" s="3" t="s">
        <v>11</v>
      </c>
      <c r="B9" s="1">
        <v>2409775</v>
      </c>
      <c r="C9" s="1">
        <v>2409775</v>
      </c>
      <c r="D9" s="10">
        <v>2409770</v>
      </c>
      <c r="E9" s="10"/>
      <c r="F9" s="6"/>
      <c r="G9" s="1">
        <f>C9-B9</f>
        <v>0</v>
      </c>
      <c r="H9" s="10">
        <f>D9-B9</f>
        <v>-5</v>
      </c>
      <c r="I9" s="10"/>
      <c r="J9" s="6"/>
      <c r="K9" s="5">
        <f>G9/B9</f>
        <v>0</v>
      </c>
      <c r="L9" s="9">
        <f t="shared" si="1"/>
        <v>-2.0748825097778839E-6</v>
      </c>
      <c r="M9" s="9"/>
      <c r="N9" s="6"/>
    </row>
    <row r="10" spans="1:14" x14ac:dyDescent="0.2">
      <c r="A10" s="3" t="s">
        <v>7</v>
      </c>
      <c r="B10" s="1">
        <v>36</v>
      </c>
      <c r="C10" s="1">
        <v>36</v>
      </c>
      <c r="D10" s="10">
        <v>36</v>
      </c>
      <c r="E10" s="10"/>
      <c r="F10" s="6"/>
      <c r="G10" s="1">
        <f>C10-B10</f>
        <v>0</v>
      </c>
      <c r="H10" s="10">
        <f>D10-B10</f>
        <v>0</v>
      </c>
      <c r="I10" s="10"/>
      <c r="J10" s="6"/>
      <c r="K10" s="5">
        <f>G10/B10</f>
        <v>0</v>
      </c>
      <c r="L10" s="9">
        <f t="shared" si="1"/>
        <v>0</v>
      </c>
      <c r="M10" s="9"/>
      <c r="N10" s="6"/>
    </row>
    <row r="11" spans="1:14" x14ac:dyDescent="0.2">
      <c r="A11" s="7"/>
      <c r="B11" s="8"/>
      <c r="C11" s="8"/>
      <c r="D11" s="8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968.85</v>
      </c>
      <c r="C12" s="1">
        <v>960.68</v>
      </c>
      <c r="D12" s="1">
        <v>1002.5</v>
      </c>
      <c r="E12" s="1">
        <v>1925.9</v>
      </c>
      <c r="F12" s="6"/>
      <c r="G12" s="1">
        <f>C12-B12</f>
        <v>-8.1700000000000728</v>
      </c>
      <c r="H12" s="1">
        <f>D12-B12</f>
        <v>33.649999999999977</v>
      </c>
      <c r="I12" s="1">
        <f>E12-B12</f>
        <v>957.05000000000007</v>
      </c>
      <c r="J12" s="6"/>
      <c r="K12" s="5">
        <f>G12/B12</f>
        <v>-8.4326779171183079E-3</v>
      </c>
      <c r="L12" s="5">
        <f t="shared" si="1"/>
        <v>3.4731898642720728E-2</v>
      </c>
      <c r="M12" s="5">
        <f>I12/B12</f>
        <v>0.98782061206585137</v>
      </c>
      <c r="N12" s="6"/>
    </row>
    <row r="13" spans="1:14" x14ac:dyDescent="0.2">
      <c r="A13" s="3" t="s">
        <v>13</v>
      </c>
      <c r="B13" s="1">
        <v>537.65</v>
      </c>
      <c r="C13" s="1">
        <v>529.26</v>
      </c>
      <c r="D13" s="1">
        <v>571.09</v>
      </c>
      <c r="E13" s="1">
        <v>1484.97</v>
      </c>
      <c r="F13" s="6"/>
      <c r="G13" s="1">
        <f>C13-B13</f>
        <v>-8.3899999999999864</v>
      </c>
      <c r="H13" s="1">
        <f t="shared" ref="H13:H31" si="2">D13-B13</f>
        <v>33.440000000000055</v>
      </c>
      <c r="I13" s="1">
        <f>E13-B13</f>
        <v>947.32</v>
      </c>
      <c r="J13" s="6"/>
      <c r="K13" s="5">
        <f>G13/B13</f>
        <v>-1.5604947456523736E-2</v>
      </c>
      <c r="L13" s="5">
        <f t="shared" si="1"/>
        <v>6.2196596298707441E-2</v>
      </c>
      <c r="M13" s="5">
        <f>I13/B13</f>
        <v>1.761964103041012</v>
      </c>
      <c r="N13" s="6"/>
    </row>
    <row r="14" spans="1:14" x14ac:dyDescent="0.2">
      <c r="A14" s="3" t="s">
        <v>14</v>
      </c>
      <c r="B14" s="1">
        <v>418.44</v>
      </c>
      <c r="C14" s="1">
        <v>418.39</v>
      </c>
      <c r="D14" s="1">
        <v>418.65</v>
      </c>
      <c r="E14" s="1">
        <v>424.64</v>
      </c>
      <c r="F14" s="6"/>
      <c r="G14" s="1">
        <f>C14-B14</f>
        <v>-5.0000000000011369E-2</v>
      </c>
      <c r="H14" s="1">
        <f t="shared" si="2"/>
        <v>0.20999999999997954</v>
      </c>
      <c r="I14" s="1">
        <f>E14-B14</f>
        <v>6.1999999999999886</v>
      </c>
      <c r="J14" s="6"/>
      <c r="K14" s="5">
        <f>G14/B14</f>
        <v>-1.1949144441260723E-4</v>
      </c>
      <c r="L14" s="5">
        <f t="shared" si="1"/>
        <v>5.018640665327874E-4</v>
      </c>
      <c r="M14" s="5">
        <f>I14/B14</f>
        <v>1.48169391071599E-2</v>
      </c>
      <c r="N14" s="6"/>
    </row>
    <row r="15" spans="1:14" x14ac:dyDescent="0.2">
      <c r="A15" s="3" t="s">
        <v>15</v>
      </c>
      <c r="B15" s="1">
        <v>12.76</v>
      </c>
      <c r="C15" s="1">
        <v>13.03</v>
      </c>
      <c r="D15" s="1">
        <v>12.75</v>
      </c>
      <c r="E15" s="1">
        <v>16.28</v>
      </c>
      <c r="F15" s="6"/>
      <c r="G15" s="1">
        <f>C15-B15</f>
        <v>0.26999999999999957</v>
      </c>
      <c r="H15" s="1">
        <f t="shared" si="2"/>
        <v>-9.9999999999997868E-3</v>
      </c>
      <c r="I15" s="1">
        <f>E15-B15</f>
        <v>3.5200000000000014</v>
      </c>
      <c r="J15" s="6"/>
      <c r="K15" s="5">
        <f>G15/B15</f>
        <v>2.1159874608150438E-2</v>
      </c>
      <c r="L15" s="5">
        <f t="shared" si="1"/>
        <v>-7.836990595611118E-4</v>
      </c>
      <c r="M15" s="5">
        <f>I15/B15</f>
        <v>0.27586206896551735</v>
      </c>
      <c r="N15" s="6"/>
    </row>
    <row r="16" spans="1:14" x14ac:dyDescent="0.2">
      <c r="A16" s="3" t="s">
        <v>17</v>
      </c>
      <c r="B16" s="1">
        <v>542.41</v>
      </c>
      <c r="C16" s="1">
        <v>534.29</v>
      </c>
      <c r="D16" s="1">
        <v>575.85</v>
      </c>
      <c r="E16" s="1">
        <v>1493.26</v>
      </c>
      <c r="F16" s="6"/>
      <c r="G16" s="1">
        <f>C16-B16</f>
        <v>-8.1200000000000045</v>
      </c>
      <c r="H16" s="1">
        <f t="shared" si="2"/>
        <v>33.440000000000055</v>
      </c>
      <c r="I16" s="1">
        <f>E16-B16</f>
        <v>950.85</v>
      </c>
      <c r="J16" s="6"/>
      <c r="K16" s="5">
        <f>G16/B16</f>
        <v>-1.4970225475194051E-2</v>
      </c>
      <c r="L16" s="5">
        <f t="shared" si="1"/>
        <v>6.1650780774690835E-2</v>
      </c>
      <c r="M16" s="5">
        <f>I16/B16</f>
        <v>1.7530097158975684</v>
      </c>
      <c r="N16" s="6"/>
    </row>
    <row r="17" spans="1:14" x14ac:dyDescent="0.2">
      <c r="A17" s="3" t="s">
        <v>16</v>
      </c>
      <c r="B17" s="1">
        <v>327.73</v>
      </c>
      <c r="C17" s="1">
        <v>328.94</v>
      </c>
      <c r="D17" s="1">
        <v>333.67</v>
      </c>
      <c r="E17" s="1">
        <v>867.61</v>
      </c>
      <c r="F17" s="6"/>
      <c r="G17" s="1">
        <f>C17-B17</f>
        <v>1.2099999999999795</v>
      </c>
      <c r="H17" s="1">
        <f t="shared" si="2"/>
        <v>5.9399999999999977</v>
      </c>
      <c r="I17" s="1">
        <f>E17-B17</f>
        <v>539.88</v>
      </c>
      <c r="J17" s="6"/>
      <c r="K17" s="5">
        <f>G17/B17</f>
        <v>3.6920635889298491E-3</v>
      </c>
      <c r="L17" s="5">
        <f t="shared" si="1"/>
        <v>1.8124675800201377E-2</v>
      </c>
      <c r="M17" s="5">
        <f>I17/B17</f>
        <v>1.6473316449516369</v>
      </c>
      <c r="N17" s="6"/>
    </row>
    <row r="18" spans="1:14" x14ac:dyDescent="0.2">
      <c r="A18" s="3" t="s">
        <v>18</v>
      </c>
      <c r="B18" s="1">
        <f>6.98+9.44+7.04</f>
        <v>23.46</v>
      </c>
      <c r="C18" s="1">
        <f>7.17+11.85+7.08</f>
        <v>26.1</v>
      </c>
      <c r="D18" s="1">
        <f>4.66+6.93+4.34</f>
        <v>15.93</v>
      </c>
      <c r="E18" s="1">
        <f>12.13+18.02+11.28</f>
        <v>41.43</v>
      </c>
      <c r="F18" s="6"/>
      <c r="G18" s="1">
        <f>C18-B18</f>
        <v>2.6400000000000006</v>
      </c>
      <c r="H18" s="1">
        <f t="shared" si="2"/>
        <v>-7.5300000000000011</v>
      </c>
      <c r="I18" s="1">
        <f>E18-B18</f>
        <v>17.97</v>
      </c>
      <c r="J18" s="6"/>
      <c r="K18" s="5">
        <f>G18/B18</f>
        <v>0.11253196930946294</v>
      </c>
      <c r="L18" s="5">
        <f t="shared" si="1"/>
        <v>-0.32097186700767266</v>
      </c>
      <c r="M18" s="5">
        <f>I18/B18</f>
        <v>0.76598465473145771</v>
      </c>
      <c r="N18" s="6"/>
    </row>
    <row r="19" spans="1:14" x14ac:dyDescent="0.2">
      <c r="A19" s="3" t="s">
        <v>19</v>
      </c>
      <c r="B19" s="1">
        <f>6.58+6.49+6.67</f>
        <v>19.740000000000002</v>
      </c>
      <c r="C19" s="1">
        <f>6.83+6.64+6.81</f>
        <v>20.279999999999998</v>
      </c>
      <c r="D19" s="1">
        <f>4.06+3.72+3.78</f>
        <v>11.559999999999999</v>
      </c>
      <c r="E19" s="1">
        <f>10.56+9.68+9.82</f>
        <v>30.060000000000002</v>
      </c>
      <c r="F19" s="6"/>
      <c r="G19" s="1">
        <f>C19-B19</f>
        <v>0.53999999999999559</v>
      </c>
      <c r="H19" s="1">
        <f t="shared" si="2"/>
        <v>-8.1800000000000033</v>
      </c>
      <c r="I19" s="1">
        <f>E19-B19</f>
        <v>10.32</v>
      </c>
      <c r="J19" s="6"/>
      <c r="K19" s="5">
        <f>G19/B19</f>
        <v>2.7355623100303726E-2</v>
      </c>
      <c r="L19" s="5">
        <f t="shared" si="1"/>
        <v>-0.41438703140830813</v>
      </c>
      <c r="M19" s="5">
        <f>I19/B19</f>
        <v>0.52279635258358659</v>
      </c>
      <c r="N19" s="6"/>
    </row>
    <row r="20" spans="1:14" x14ac:dyDescent="0.2">
      <c r="A20" s="3" t="s">
        <v>22</v>
      </c>
      <c r="B20" s="1">
        <f>42.95+42.75+42.84</f>
        <v>128.54000000000002</v>
      </c>
      <c r="C20" s="1">
        <f>43+41.76+41.97</f>
        <v>126.72999999999999</v>
      </c>
      <c r="D20" s="1">
        <f>19.41+19.73+19.44</f>
        <v>58.58</v>
      </c>
      <c r="E20" s="1">
        <f>50.48+50.3+50.54</f>
        <v>151.32</v>
      </c>
      <c r="F20" s="6"/>
      <c r="G20" s="1">
        <f>C20-B20</f>
        <v>-1.8100000000000307</v>
      </c>
      <c r="H20" s="1">
        <f t="shared" si="2"/>
        <v>-69.960000000000022</v>
      </c>
      <c r="I20" s="1">
        <f>E20-B20</f>
        <v>22.779999999999973</v>
      </c>
      <c r="J20" s="6"/>
      <c r="K20" s="5">
        <f>G20/B20</f>
        <v>-1.4081219853742262E-2</v>
      </c>
      <c r="L20" s="5">
        <f t="shared" si="1"/>
        <v>-0.54426637622529961</v>
      </c>
      <c r="M20" s="5">
        <f>I20/B20</f>
        <v>0.17722109849074194</v>
      </c>
      <c r="N20" s="6"/>
    </row>
    <row r="21" spans="1:14" x14ac:dyDescent="0.2">
      <c r="A21" s="3" t="s">
        <v>23</v>
      </c>
      <c r="B21" s="1">
        <f>36.85+36.9+36.87</f>
        <v>110.62</v>
      </c>
      <c r="C21" s="1">
        <f>37.35+36.83+36.8</f>
        <v>110.98</v>
      </c>
      <c r="D21" s="1">
        <f>15.17+15.37+15.23</f>
        <v>45.769999999999996</v>
      </c>
      <c r="E21" s="1">
        <f>39.44+39.96+39.59</f>
        <v>118.99000000000001</v>
      </c>
      <c r="F21" s="6"/>
      <c r="G21" s="1">
        <f>C21-B21</f>
        <v>0.35999999999999943</v>
      </c>
      <c r="H21" s="1">
        <f t="shared" si="2"/>
        <v>-64.850000000000009</v>
      </c>
      <c r="I21" s="1">
        <f>E21-B21</f>
        <v>8.3700000000000045</v>
      </c>
      <c r="J21" s="6"/>
      <c r="K21" s="5">
        <f>G21/B21</f>
        <v>3.2543843789549758E-3</v>
      </c>
      <c r="L21" s="5">
        <f t="shared" si="1"/>
        <v>-0.58624118604230702</v>
      </c>
      <c r="M21" s="5">
        <f>I21/B21</f>
        <v>7.5664436810703353E-2</v>
      </c>
      <c r="N21" s="6"/>
    </row>
    <row r="22" spans="1:14" x14ac:dyDescent="0.2">
      <c r="A22" s="3" t="s">
        <v>20</v>
      </c>
      <c r="B22" s="1">
        <f>13+12.16+12.79</f>
        <v>37.950000000000003</v>
      </c>
      <c r="C22" s="1">
        <f>13.55+12.24+12.4</f>
        <v>38.19</v>
      </c>
      <c r="D22" s="1">
        <f>35.87+34.63+34.71</f>
        <v>105.21000000000001</v>
      </c>
      <c r="E22" s="1">
        <f>93.28+90.04+90.24</f>
        <v>273.56</v>
      </c>
      <c r="F22" s="6"/>
      <c r="G22" s="1">
        <f>C22-B22</f>
        <v>0.23999999999999488</v>
      </c>
      <c r="H22" s="1">
        <f t="shared" si="2"/>
        <v>67.260000000000005</v>
      </c>
      <c r="I22" s="1">
        <f>E22-B22</f>
        <v>235.61</v>
      </c>
      <c r="J22" s="6"/>
      <c r="K22" s="5">
        <f>G22/B22</f>
        <v>6.3241106719366235E-3</v>
      </c>
      <c r="L22" s="5">
        <f t="shared" si="1"/>
        <v>1.7723320158102767</v>
      </c>
      <c r="M22" s="5">
        <f>I22/B22</f>
        <v>6.2084321475625819</v>
      </c>
      <c r="N22" s="6"/>
    </row>
    <row r="23" spans="1:14" x14ac:dyDescent="0.2">
      <c r="A23" s="3" t="s">
        <v>21</v>
      </c>
      <c r="B23" s="1">
        <f>11.93+11.52+11.65</f>
        <v>35.1</v>
      </c>
      <c r="C23" s="1">
        <f>11.8+11.49+11.67</f>
        <v>34.96</v>
      </c>
      <c r="D23" s="1">
        <f>33.49+33.05+33.26</f>
        <v>99.799999999999983</v>
      </c>
      <c r="E23" s="1">
        <f>87.08+85.94+86.48</f>
        <v>259.5</v>
      </c>
      <c r="F23" s="6"/>
      <c r="G23" s="1">
        <f>C23-B23</f>
        <v>-0.14000000000000057</v>
      </c>
      <c r="H23" s="1">
        <f t="shared" si="2"/>
        <v>64.699999999999989</v>
      </c>
      <c r="I23" s="1">
        <f>E23-B23</f>
        <v>224.4</v>
      </c>
      <c r="J23" s="6"/>
      <c r="K23" s="5">
        <f>G23/B23</f>
        <v>-3.9886039886040045E-3</v>
      </c>
      <c r="L23" s="5">
        <f t="shared" si="1"/>
        <v>1.8433048433048429</v>
      </c>
      <c r="M23" s="5">
        <f>I23/B23</f>
        <v>6.3931623931623927</v>
      </c>
      <c r="N23" s="6"/>
    </row>
    <row r="24" spans="1:14" x14ac:dyDescent="0.2">
      <c r="A24" s="3" t="s">
        <v>24</v>
      </c>
      <c r="B24" s="1">
        <f>0.66+1.03+1.02</f>
        <v>2.71</v>
      </c>
      <c r="C24" s="1">
        <f>0.59+0.77+0.65</f>
        <v>2.0099999999999998</v>
      </c>
      <c r="D24" s="1">
        <f>1.08+1.03+1.02</f>
        <v>3.1300000000000003</v>
      </c>
      <c r="E24" s="1">
        <f>2.82+2.68+2.66</f>
        <v>8.16</v>
      </c>
      <c r="F24" s="6"/>
      <c r="G24" s="1">
        <f>C24-B24</f>
        <v>-0.70000000000000018</v>
      </c>
      <c r="H24" s="1">
        <f t="shared" si="2"/>
        <v>0.42000000000000037</v>
      </c>
      <c r="I24" s="1">
        <f>E24-B24</f>
        <v>5.45</v>
      </c>
      <c r="J24" s="6"/>
      <c r="K24" s="5">
        <f>G24/B24</f>
        <v>-0.25830258302583031</v>
      </c>
      <c r="L24" s="5">
        <f t="shared" si="1"/>
        <v>0.1549815498154983</v>
      </c>
      <c r="M24" s="5">
        <f>I24/B24</f>
        <v>2.0110701107011071</v>
      </c>
      <c r="N24" s="6"/>
    </row>
    <row r="25" spans="1:14" x14ac:dyDescent="0.2">
      <c r="A25" s="3" t="s">
        <v>25</v>
      </c>
      <c r="B25" s="1">
        <f>0.29+0.39+0.41</f>
        <v>1.0899999999999999</v>
      </c>
      <c r="C25" s="1">
        <f>0.25+0.32+0.28</f>
        <v>0.85000000000000009</v>
      </c>
      <c r="D25" s="1">
        <f>0.41+0.41+0.42</f>
        <v>1.24</v>
      </c>
      <c r="E25" s="1">
        <f>1.07+1.06+1.1</f>
        <v>3.23</v>
      </c>
      <c r="F25" s="6"/>
      <c r="G25" s="1">
        <f>C25-B25</f>
        <v>-0.23999999999999977</v>
      </c>
      <c r="H25" s="1">
        <f t="shared" si="2"/>
        <v>0.15000000000000013</v>
      </c>
      <c r="I25" s="1">
        <f>E25-B25</f>
        <v>2.14</v>
      </c>
      <c r="J25" s="6"/>
      <c r="K25" s="5">
        <f>G25/B25</f>
        <v>-0.22018348623853193</v>
      </c>
      <c r="L25" s="5">
        <f t="shared" si="1"/>
        <v>0.13761467889908272</v>
      </c>
      <c r="M25" s="5">
        <f>I25/B25</f>
        <v>1.9633027522935784</v>
      </c>
      <c r="N25" s="6"/>
    </row>
    <row r="26" spans="1:14" x14ac:dyDescent="0.2">
      <c r="A26" s="3" t="s">
        <v>31</v>
      </c>
      <c r="B26" s="1">
        <f>60.27+56.28+58.26</f>
        <v>174.81</v>
      </c>
      <c r="C26" s="1">
        <f>59.8+54.9+55.46</f>
        <v>170.16</v>
      </c>
      <c r="D26" s="1">
        <f>73.57+66.6+69</f>
        <v>209.17</v>
      </c>
      <c r="E26" s="1">
        <f>191.3+173.17+179.43</f>
        <v>543.90000000000009</v>
      </c>
      <c r="F26" s="6"/>
      <c r="G26" s="1">
        <f>C26-B26</f>
        <v>-4.6500000000000057</v>
      </c>
      <c r="H26" s="1">
        <f t="shared" si="2"/>
        <v>34.359999999999985</v>
      </c>
      <c r="I26" s="1">
        <f>E26-B26</f>
        <v>369.09000000000009</v>
      </c>
      <c r="J26" s="6"/>
      <c r="K26" s="5">
        <f>G26/B26</f>
        <v>-2.6600308906813145E-2</v>
      </c>
      <c r="L26" s="5">
        <f t="shared" si="1"/>
        <v>0.19655626108346197</v>
      </c>
      <c r="M26" s="5">
        <f>I26/B26</f>
        <v>2.1113780676162697</v>
      </c>
      <c r="N26" s="6"/>
    </row>
    <row r="27" spans="1:14" x14ac:dyDescent="0.2">
      <c r="A27" s="3" t="s">
        <v>26</v>
      </c>
      <c r="B27" s="1">
        <f>24.9+22.91+24.52</f>
        <v>72.33</v>
      </c>
      <c r="C27" s="1">
        <f>25.25+23.74+24.08</f>
        <v>73.069999999999993</v>
      </c>
      <c r="D27" s="1">
        <f>28.28+26.95+28.68</f>
        <v>83.91</v>
      </c>
      <c r="E27" s="1">
        <f>73.52+70.08+74.57</f>
        <v>218.17</v>
      </c>
      <c r="F27" s="6"/>
      <c r="G27" s="1">
        <f>C27-B27</f>
        <v>0.73999999999999488</v>
      </c>
      <c r="H27" s="1">
        <f t="shared" si="2"/>
        <v>11.579999999999998</v>
      </c>
      <c r="I27" s="1">
        <f>E27-B27</f>
        <v>145.83999999999997</v>
      </c>
      <c r="J27" s="6"/>
      <c r="K27" s="5">
        <f>G27/B27</f>
        <v>1.0230886215954582E-2</v>
      </c>
      <c r="L27" s="5">
        <f t="shared" si="1"/>
        <v>0.16009954375777682</v>
      </c>
      <c r="M27" s="5">
        <f>I27/B27</f>
        <v>2.0163141158578735</v>
      </c>
      <c r="N27" s="6"/>
    </row>
    <row r="28" spans="1:14" x14ac:dyDescent="0.2">
      <c r="A28" s="3" t="s">
        <v>27</v>
      </c>
      <c r="B28" s="1">
        <v>9.3800000000000008</v>
      </c>
      <c r="C28" s="1">
        <v>8.4499999999999993</v>
      </c>
      <c r="D28" s="1">
        <v>9.6999999999999993</v>
      </c>
      <c r="E28" s="1">
        <v>25.22</v>
      </c>
      <c r="F28" s="6"/>
      <c r="G28" s="1">
        <f>C28-B28</f>
        <v>-0.93000000000000149</v>
      </c>
      <c r="H28" s="1">
        <f t="shared" si="2"/>
        <v>0.31999999999999851</v>
      </c>
      <c r="I28" s="1">
        <f>E28-B28</f>
        <v>15.839999999999998</v>
      </c>
      <c r="J28" s="6"/>
      <c r="K28" s="5">
        <f>G28/B28</f>
        <v>-9.914712153518139E-2</v>
      </c>
      <c r="L28" s="5">
        <f t="shared" si="1"/>
        <v>3.4115138592750373E-2</v>
      </c>
      <c r="M28" s="5">
        <f>I28/B28</f>
        <v>1.6886993603411511</v>
      </c>
      <c r="N28" s="6"/>
    </row>
    <row r="29" spans="1:14" x14ac:dyDescent="0.2">
      <c r="A29" s="3" t="s">
        <v>28</v>
      </c>
      <c r="B29" s="1">
        <v>5.12</v>
      </c>
      <c r="C29" s="1">
        <v>5.0599999999999996</v>
      </c>
      <c r="D29" s="1">
        <v>6.05</v>
      </c>
      <c r="E29" s="1">
        <v>15.73</v>
      </c>
      <c r="F29" s="6"/>
      <c r="G29" s="1">
        <f>C29-B29</f>
        <v>-6.0000000000000497E-2</v>
      </c>
      <c r="H29" s="1">
        <f t="shared" si="2"/>
        <v>0.92999999999999972</v>
      </c>
      <c r="I29" s="1">
        <f>E29-B29</f>
        <v>10.61</v>
      </c>
      <c r="J29" s="6"/>
      <c r="K29" s="5">
        <f>G29/B29</f>
        <v>-1.1718750000000097E-2</v>
      </c>
      <c r="L29" s="5">
        <f t="shared" si="1"/>
        <v>0.18164062499999994</v>
      </c>
      <c r="M29" s="5">
        <f>I29/B29</f>
        <v>2.072265625</v>
      </c>
      <c r="N29" s="6"/>
    </row>
    <row r="30" spans="1:14" x14ac:dyDescent="0.2">
      <c r="A30" s="3" t="s">
        <v>29</v>
      </c>
      <c r="B30" s="1">
        <v>111.74</v>
      </c>
      <c r="C30" s="1">
        <v>108.94</v>
      </c>
      <c r="D30" s="1">
        <v>119.64</v>
      </c>
      <c r="E30" s="1">
        <v>311.08999999999997</v>
      </c>
      <c r="F30" s="6"/>
      <c r="G30" s="1">
        <f>C30-B30</f>
        <v>-2.7999999999999972</v>
      </c>
      <c r="H30" s="1">
        <f t="shared" si="2"/>
        <v>7.9000000000000057</v>
      </c>
      <c r="I30" s="1">
        <f>E30-B30</f>
        <v>199.34999999999997</v>
      </c>
      <c r="J30" s="6"/>
      <c r="K30" s="5">
        <f>G30/B30</f>
        <v>-2.5058170753534968E-2</v>
      </c>
      <c r="L30" s="5">
        <f t="shared" si="1"/>
        <v>7.0699838911759502E-2</v>
      </c>
      <c r="M30" s="5">
        <f>I30/B30</f>
        <v>1.7840522641847143</v>
      </c>
      <c r="N30" s="6"/>
    </row>
    <row r="31" spans="1:14" x14ac:dyDescent="0.2">
      <c r="A31" s="3" t="s">
        <v>30</v>
      </c>
      <c r="B31" s="1">
        <v>81.13</v>
      </c>
      <c r="C31" s="1">
        <v>81.069999999999993</v>
      </c>
      <c r="D31" s="1">
        <v>82.61</v>
      </c>
      <c r="E31" s="1">
        <v>214.81</v>
      </c>
      <c r="F31" s="6"/>
      <c r="G31" s="1">
        <f>C31-B31</f>
        <v>-6.0000000000002274E-2</v>
      </c>
      <c r="H31" s="1">
        <f t="shared" si="2"/>
        <v>1.480000000000004</v>
      </c>
      <c r="I31" s="1">
        <f>E31-B31</f>
        <v>133.68</v>
      </c>
      <c r="J31" s="6"/>
      <c r="K31" s="5">
        <f>G31/B31</f>
        <v>-7.3955380253916284E-4</v>
      </c>
      <c r="L31" s="5">
        <f t="shared" si="1"/>
        <v>1.8242327129298706E-2</v>
      </c>
      <c r="M31" s="5">
        <f>I31/B31</f>
        <v>1.6477258720571923</v>
      </c>
      <c r="N31" s="6"/>
    </row>
    <row r="32" spans="1:14" x14ac:dyDescent="0.2">
      <c r="A32" s="7"/>
      <c r="B32" s="8"/>
      <c r="C32" s="8"/>
      <c r="D32" s="8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32</v>
      </c>
      <c r="B33" s="1">
        <v>36.935268000000001</v>
      </c>
      <c r="C33" s="10">
        <v>35.655293</v>
      </c>
      <c r="D33" s="10"/>
      <c r="E33" s="10"/>
      <c r="F33" s="6"/>
      <c r="G33" s="10">
        <f>C33-B33</f>
        <v>-1.2799750000000003</v>
      </c>
      <c r="H33" s="10"/>
      <c r="I33" s="10"/>
      <c r="J33" s="6"/>
      <c r="K33" s="9">
        <f>G33/B33</f>
        <v>-3.4654547518106552E-2</v>
      </c>
      <c r="L33" s="9"/>
      <c r="M33" s="9"/>
      <c r="N33" s="6"/>
    </row>
    <row r="34" spans="1:14" x14ac:dyDescent="0.2">
      <c r="A34" s="3" t="s">
        <v>33</v>
      </c>
      <c r="B34" s="1">
        <v>4.1183040000000002</v>
      </c>
      <c r="C34" s="10">
        <v>4.0647320000000002</v>
      </c>
      <c r="D34" s="10"/>
      <c r="E34" s="10"/>
      <c r="F34" s="6"/>
      <c r="G34" s="10">
        <f>C34-B34</f>
        <v>-5.3571999999999953E-2</v>
      </c>
      <c r="H34" s="10"/>
      <c r="I34" s="10"/>
      <c r="J34" s="6"/>
      <c r="K34" s="9">
        <f>G34/B34</f>
        <v>-1.300826748098245E-2</v>
      </c>
      <c r="L34" s="9"/>
      <c r="M34" s="9"/>
      <c r="N34" s="6"/>
    </row>
    <row r="35" spans="1:14" x14ac:dyDescent="0.2">
      <c r="A35" s="3" t="s">
        <v>34</v>
      </c>
      <c r="B35" s="1">
        <v>2</v>
      </c>
      <c r="C35" s="10">
        <v>2</v>
      </c>
      <c r="D35" s="10"/>
      <c r="E35" s="10"/>
      <c r="F35" s="6"/>
      <c r="G35" s="10">
        <f>C35-B35</f>
        <v>0</v>
      </c>
      <c r="H35" s="10"/>
      <c r="I35" s="10"/>
      <c r="J35" s="6"/>
      <c r="K35" s="9">
        <f>G35/B35</f>
        <v>0</v>
      </c>
      <c r="L35" s="9"/>
      <c r="M35" s="9"/>
      <c r="N35" s="6"/>
    </row>
    <row r="36" spans="1:14" x14ac:dyDescent="0.2">
      <c r="A36" s="3" t="s">
        <v>35</v>
      </c>
      <c r="B36" s="1">
        <v>2</v>
      </c>
      <c r="C36" s="10">
        <v>2</v>
      </c>
      <c r="D36" s="10"/>
      <c r="E36" s="10"/>
      <c r="F36" s="6"/>
      <c r="G36" s="10">
        <f>C36-B36</f>
        <v>0</v>
      </c>
      <c r="H36" s="10"/>
      <c r="I36" s="10"/>
      <c r="J36" s="6"/>
      <c r="K36" s="9">
        <f>G36/B36</f>
        <v>0</v>
      </c>
      <c r="L36" s="9"/>
      <c r="M36" s="9"/>
      <c r="N36" s="6"/>
    </row>
    <row r="37" spans="1:14" x14ac:dyDescent="0.2">
      <c r="A37" s="3" t="s">
        <v>36</v>
      </c>
      <c r="B37" s="1">
        <v>0</v>
      </c>
      <c r="C37" s="10">
        <v>0</v>
      </c>
      <c r="D37" s="10"/>
      <c r="E37" s="10"/>
      <c r="F37" s="6"/>
      <c r="G37" s="10">
        <f>C37-B37</f>
        <v>0</v>
      </c>
      <c r="H37" s="10"/>
      <c r="I37" s="10"/>
      <c r="J37" s="6"/>
      <c r="K37" s="9" t="s">
        <v>56</v>
      </c>
      <c r="L37" s="9"/>
      <c r="M37" s="9"/>
      <c r="N37" s="6"/>
    </row>
    <row r="38" spans="1:14" x14ac:dyDescent="0.2">
      <c r="A38" s="3" t="s">
        <v>37</v>
      </c>
      <c r="B38" s="1">
        <v>23</v>
      </c>
      <c r="C38" s="10">
        <v>23</v>
      </c>
      <c r="D38" s="10"/>
      <c r="E38" s="10"/>
      <c r="F38" s="6"/>
      <c r="G38" s="10">
        <f>C38-B38</f>
        <v>0</v>
      </c>
      <c r="H38" s="10"/>
      <c r="I38" s="10"/>
      <c r="J38" s="6"/>
      <c r="K38" s="9">
        <f>G38/B38</f>
        <v>0</v>
      </c>
      <c r="L38" s="9"/>
      <c r="M38" s="9"/>
      <c r="N38" s="6"/>
    </row>
    <row r="39" spans="1:14" x14ac:dyDescent="0.2">
      <c r="A39" s="3" t="s">
        <v>38</v>
      </c>
      <c r="B39" s="1">
        <v>6.6195789999999999</v>
      </c>
      <c r="C39" s="10">
        <v>6.6183040000000002</v>
      </c>
      <c r="D39" s="10"/>
      <c r="E39" s="10"/>
      <c r="F39" s="6"/>
      <c r="G39" s="10">
        <f>C39-B39</f>
        <v>-1.274999999999693E-3</v>
      </c>
      <c r="H39" s="10"/>
      <c r="I39" s="10"/>
      <c r="J39" s="6"/>
      <c r="K39" s="9">
        <f>G39/B39</f>
        <v>-1.9261043640383973E-4</v>
      </c>
      <c r="L39" s="9"/>
      <c r="M39" s="9"/>
      <c r="N39" s="6"/>
    </row>
    <row r="40" spans="1:14" x14ac:dyDescent="0.2">
      <c r="A40" s="3" t="s">
        <v>39</v>
      </c>
      <c r="B40" s="1">
        <v>7</v>
      </c>
      <c r="C40" s="10">
        <v>7</v>
      </c>
      <c r="D40" s="10"/>
      <c r="E40" s="10"/>
      <c r="F40" s="6"/>
      <c r="G40" s="10">
        <f>C40-B40</f>
        <v>0</v>
      </c>
      <c r="H40" s="10"/>
      <c r="I40" s="10"/>
      <c r="J40" s="6"/>
      <c r="K40" s="9">
        <f>G40/B40</f>
        <v>0</v>
      </c>
      <c r="L40" s="9"/>
      <c r="M40" s="9"/>
      <c r="N40" s="6"/>
    </row>
    <row r="41" spans="1:14" x14ac:dyDescent="0.2">
      <c r="A41" s="3" t="s">
        <v>40</v>
      </c>
      <c r="B41" s="1">
        <v>8</v>
      </c>
      <c r="C41" s="10">
        <v>8</v>
      </c>
      <c r="D41" s="10"/>
      <c r="E41" s="10"/>
      <c r="F41" s="6"/>
      <c r="G41" s="10">
        <f>C41-B41</f>
        <v>0</v>
      </c>
      <c r="H41" s="10"/>
      <c r="I41" s="10"/>
      <c r="J41" s="6"/>
      <c r="K41" s="9">
        <f>G41/B41</f>
        <v>0</v>
      </c>
      <c r="L41" s="9"/>
      <c r="M41" s="9"/>
      <c r="N41" s="6"/>
    </row>
    <row r="42" spans="1:14" x14ac:dyDescent="0.2">
      <c r="A42" s="3" t="s">
        <v>41</v>
      </c>
      <c r="B42" s="1">
        <v>3</v>
      </c>
      <c r="C42" s="10">
        <v>3</v>
      </c>
      <c r="D42" s="10"/>
      <c r="E42" s="10"/>
      <c r="F42" s="6"/>
      <c r="G42" s="10">
        <f>C42-B42</f>
        <v>0</v>
      </c>
      <c r="H42" s="10"/>
      <c r="I42" s="10"/>
      <c r="J42" s="6"/>
      <c r="K42" s="9">
        <f>G42/B42</f>
        <v>0</v>
      </c>
      <c r="L42" s="9"/>
      <c r="M42" s="9"/>
      <c r="N42" s="6"/>
    </row>
    <row r="43" spans="1:14" x14ac:dyDescent="0.2">
      <c r="A43" s="3" t="s">
        <v>42</v>
      </c>
      <c r="B43" s="1">
        <v>471</v>
      </c>
      <c r="C43" s="10">
        <v>455</v>
      </c>
      <c r="D43" s="10"/>
      <c r="E43" s="10"/>
      <c r="F43" s="6"/>
      <c r="G43" s="10">
        <f>C43-B43</f>
        <v>-16</v>
      </c>
      <c r="H43" s="10"/>
      <c r="I43" s="10"/>
      <c r="J43" s="6"/>
      <c r="K43" s="9">
        <f>G43/B43</f>
        <v>-3.3970276008492568E-2</v>
      </c>
      <c r="L43" s="9"/>
      <c r="M43" s="9"/>
      <c r="N43" s="6"/>
    </row>
    <row r="44" spans="1:14" x14ac:dyDescent="0.2">
      <c r="A44" s="3" t="s">
        <v>43</v>
      </c>
      <c r="B44" s="5">
        <v>0.15019133000000001</v>
      </c>
      <c r="C44" s="12">
        <v>0.14508929000000001</v>
      </c>
      <c r="D44" s="12"/>
      <c r="E44" s="12"/>
      <c r="F44" s="6"/>
      <c r="G44" s="10">
        <f>C44-B44</f>
        <v>-5.1020400000000021E-3</v>
      </c>
      <c r="H44" s="10"/>
      <c r="I44" s="10"/>
      <c r="J44" s="6"/>
      <c r="K44" s="9">
        <f>G44/B44</f>
        <v>-3.3970269788542402E-2</v>
      </c>
      <c r="L44" s="9"/>
      <c r="M44" s="9"/>
      <c r="N44" s="6"/>
    </row>
    <row r="45" spans="1:14" x14ac:dyDescent="0.2">
      <c r="A45" s="7"/>
      <c r="B45" s="8"/>
      <c r="C45" s="8"/>
      <c r="D45" s="8"/>
      <c r="E45" s="8"/>
      <c r="F45" s="6"/>
      <c r="G45" s="8"/>
      <c r="H45" s="8"/>
      <c r="I45" s="8"/>
      <c r="J45" s="6"/>
      <c r="K45" s="8"/>
      <c r="L45" s="8"/>
      <c r="M45" s="8"/>
      <c r="N45" s="6"/>
    </row>
    <row r="46" spans="1:14" x14ac:dyDescent="0.2">
      <c r="A46" s="3" t="s">
        <v>44</v>
      </c>
      <c r="B46" s="1">
        <v>3.401786</v>
      </c>
      <c r="C46" s="10">
        <v>3.4068879999999999</v>
      </c>
      <c r="D46" s="10"/>
      <c r="E46" s="10"/>
      <c r="F46" s="6"/>
      <c r="G46" s="10">
        <f>C46-B46</f>
        <v>5.1019999999999399E-3</v>
      </c>
      <c r="H46" s="10"/>
      <c r="I46" s="10"/>
      <c r="J46" s="6"/>
      <c r="K46" s="9">
        <f>G46/B46</f>
        <v>1.4998003989668779E-3</v>
      </c>
      <c r="L46" s="9"/>
      <c r="M46" s="9"/>
      <c r="N46" s="6"/>
    </row>
    <row r="47" spans="1:14" x14ac:dyDescent="0.2">
      <c r="A47" s="3" t="s">
        <v>45</v>
      </c>
      <c r="B47" s="1">
        <v>1.770408</v>
      </c>
      <c r="C47" s="10">
        <v>1.772321</v>
      </c>
      <c r="D47" s="10"/>
      <c r="E47" s="10"/>
      <c r="F47" s="6"/>
      <c r="G47" s="10">
        <f>C47-B47</f>
        <v>1.9130000000000535E-3</v>
      </c>
      <c r="H47" s="10"/>
      <c r="I47" s="10"/>
      <c r="J47" s="6"/>
      <c r="K47" s="9">
        <f>G47/B47</f>
        <v>1.0805418863900601E-3</v>
      </c>
      <c r="L47" s="9"/>
      <c r="M47" s="9"/>
      <c r="N47" s="6"/>
    </row>
    <row r="48" spans="1:14" x14ac:dyDescent="0.2">
      <c r="A48" s="3" t="s">
        <v>46</v>
      </c>
      <c r="B48" s="1">
        <v>2</v>
      </c>
      <c r="C48" s="10">
        <v>2</v>
      </c>
      <c r="D48" s="10"/>
      <c r="E48" s="10"/>
      <c r="F48" s="6"/>
      <c r="G48" s="10">
        <f>C48-B48</f>
        <v>0</v>
      </c>
      <c r="H48" s="10"/>
      <c r="I48" s="10"/>
      <c r="J48" s="6"/>
      <c r="K48" s="9">
        <f>G48/B48</f>
        <v>0</v>
      </c>
      <c r="L48" s="9"/>
      <c r="M48" s="9"/>
      <c r="N48" s="6"/>
    </row>
    <row r="49" spans="1:14" x14ac:dyDescent="0.2">
      <c r="A49" s="3" t="s">
        <v>47</v>
      </c>
      <c r="B49" s="1">
        <v>-2</v>
      </c>
      <c r="C49" s="10">
        <v>-2</v>
      </c>
      <c r="D49" s="10"/>
      <c r="E49" s="10"/>
      <c r="F49" s="6"/>
      <c r="G49" s="10">
        <f>C49-B49</f>
        <v>0</v>
      </c>
      <c r="H49" s="10"/>
      <c r="I49" s="10"/>
      <c r="J49" s="6"/>
      <c r="K49" s="9">
        <f>G49/B49</f>
        <v>0</v>
      </c>
      <c r="L49" s="9"/>
      <c r="M49" s="9"/>
      <c r="N49" s="6"/>
    </row>
    <row r="50" spans="1:14" x14ac:dyDescent="0.2">
      <c r="A50" s="3" t="s">
        <v>48</v>
      </c>
      <c r="B50" s="1">
        <v>-3</v>
      </c>
      <c r="C50" s="10">
        <v>-3</v>
      </c>
      <c r="D50" s="10"/>
      <c r="E50" s="10"/>
      <c r="F50" s="6"/>
      <c r="G50" s="10">
        <f>C50-B50</f>
        <v>0</v>
      </c>
      <c r="H50" s="10"/>
      <c r="I50" s="10"/>
      <c r="J50" s="6"/>
      <c r="K50" s="9">
        <f>G50/B50</f>
        <v>0</v>
      </c>
      <c r="L50" s="9"/>
      <c r="M50" s="9"/>
      <c r="N50" s="6"/>
    </row>
    <row r="51" spans="1:14" x14ac:dyDescent="0.2">
      <c r="A51" s="3" t="s">
        <v>49</v>
      </c>
      <c r="B51" s="1">
        <v>2</v>
      </c>
      <c r="C51" s="10">
        <v>2</v>
      </c>
      <c r="D51" s="10"/>
      <c r="E51" s="10"/>
      <c r="F51" s="6"/>
      <c r="G51" s="10">
        <f>C51-B51</f>
        <v>0</v>
      </c>
      <c r="H51" s="10"/>
      <c r="I51" s="10"/>
      <c r="J51" s="6"/>
      <c r="K51" s="9">
        <f>G51/B51</f>
        <v>0</v>
      </c>
      <c r="L51" s="9"/>
      <c r="M51" s="9"/>
      <c r="N51" s="6"/>
    </row>
    <row r="52" spans="1:14" x14ac:dyDescent="0.2">
      <c r="A52" s="3" t="s">
        <v>50</v>
      </c>
      <c r="B52" s="1">
        <v>6.7904970000000002</v>
      </c>
      <c r="C52" s="10">
        <v>6.78986</v>
      </c>
      <c r="D52" s="10"/>
      <c r="E52" s="10"/>
      <c r="F52" s="6"/>
      <c r="G52" s="10">
        <f>C52-B52</f>
        <v>-6.3700000000022072E-4</v>
      </c>
      <c r="H52" s="10"/>
      <c r="I52" s="10"/>
      <c r="J52" s="6"/>
      <c r="K52" s="9">
        <f>G52/B52</f>
        <v>-9.3807566662678849E-5</v>
      </c>
      <c r="L52" s="9"/>
      <c r="M52" s="9"/>
      <c r="N52" s="6"/>
    </row>
    <row r="53" spans="1:14" x14ac:dyDescent="0.2">
      <c r="A53" s="3" t="s">
        <v>51</v>
      </c>
      <c r="B53" s="1">
        <v>7</v>
      </c>
      <c r="C53" s="10">
        <v>7</v>
      </c>
      <c r="D53" s="10"/>
      <c r="E53" s="10"/>
      <c r="F53" s="6"/>
      <c r="G53" s="10">
        <f>C53-B53</f>
        <v>0</v>
      </c>
      <c r="H53" s="10"/>
      <c r="I53" s="10"/>
      <c r="J53" s="6"/>
      <c r="K53" s="9">
        <f>G53/B53</f>
        <v>0</v>
      </c>
      <c r="L53" s="9"/>
      <c r="M53" s="9"/>
      <c r="N53" s="6"/>
    </row>
    <row r="54" spans="1:14" x14ac:dyDescent="0.2">
      <c r="A54" s="3" t="s">
        <v>52</v>
      </c>
      <c r="B54" s="1">
        <v>8</v>
      </c>
      <c r="C54" s="10">
        <v>8</v>
      </c>
      <c r="D54" s="10"/>
      <c r="E54" s="10"/>
      <c r="F54" s="6"/>
      <c r="G54" s="10">
        <f>C54-B54</f>
        <v>0</v>
      </c>
      <c r="H54" s="10"/>
      <c r="I54" s="10"/>
      <c r="J54" s="6"/>
      <c r="K54" s="9">
        <f>G54/B54</f>
        <v>0</v>
      </c>
      <c r="L54" s="9"/>
      <c r="M54" s="9"/>
      <c r="N54" s="6"/>
    </row>
    <row r="55" spans="1:14" x14ac:dyDescent="0.2">
      <c r="A55" s="3" t="s">
        <v>53</v>
      </c>
      <c r="B55" s="1">
        <v>5</v>
      </c>
      <c r="C55" s="10">
        <v>5</v>
      </c>
      <c r="D55" s="10"/>
      <c r="E55" s="10"/>
      <c r="F55" s="6"/>
      <c r="G55" s="10">
        <f>C55-B55</f>
        <v>0</v>
      </c>
      <c r="H55" s="10"/>
      <c r="I55" s="10"/>
      <c r="J55" s="6"/>
      <c r="K55" s="9">
        <f>G55/B55</f>
        <v>0</v>
      </c>
      <c r="L55" s="9"/>
      <c r="M55" s="9"/>
      <c r="N55" s="6"/>
    </row>
    <row r="56" spans="1:14" x14ac:dyDescent="0.2">
      <c r="A56" s="3" t="s">
        <v>54</v>
      </c>
      <c r="B56" s="1">
        <v>61</v>
      </c>
      <c r="C56" s="10">
        <v>60</v>
      </c>
      <c r="D56" s="10"/>
      <c r="E56" s="10"/>
      <c r="F56" s="6"/>
      <c r="G56" s="10">
        <f>C56-B56</f>
        <v>-1</v>
      </c>
      <c r="H56" s="10"/>
      <c r="I56" s="10"/>
      <c r="J56" s="6"/>
      <c r="K56" s="9">
        <f>G56/B56</f>
        <v>-1.6393442622950821E-2</v>
      </c>
      <c r="L56" s="9"/>
      <c r="M56" s="9"/>
      <c r="N56" s="6"/>
    </row>
    <row r="57" spans="1:14" x14ac:dyDescent="0.2">
      <c r="A57" s="3" t="s">
        <v>55</v>
      </c>
      <c r="B57" s="5">
        <v>1.9451530000000002E-2</v>
      </c>
      <c r="C57" s="9">
        <v>1.9132650000000001E-2</v>
      </c>
      <c r="D57" s="9"/>
      <c r="E57" s="9"/>
      <c r="F57" s="6"/>
      <c r="G57" s="10">
        <f>C57-B57</f>
        <v>-3.1888000000000055E-4</v>
      </c>
      <c r="H57" s="10"/>
      <c r="I57" s="10"/>
      <c r="J57" s="6"/>
      <c r="K57" s="9">
        <f>G57/B57</f>
        <v>-1.6393569040584494E-2</v>
      </c>
      <c r="L57" s="9"/>
      <c r="M57" s="9"/>
      <c r="N57" s="6"/>
    </row>
    <row r="58" spans="1:14" x14ac:dyDescent="0.2">
      <c r="A58" s="7"/>
      <c r="B58" s="8"/>
      <c r="C58" s="8"/>
      <c r="D58" s="8"/>
      <c r="E58" s="8"/>
      <c r="F58" s="6"/>
      <c r="G58" s="8"/>
      <c r="H58" s="8"/>
      <c r="I58" s="8"/>
      <c r="J58" s="6"/>
      <c r="K58" s="8"/>
      <c r="L58" s="8"/>
      <c r="M58" s="8"/>
      <c r="N58" s="6"/>
    </row>
    <row r="59" spans="1:14" x14ac:dyDescent="0.2">
      <c r="A59" s="3" t="s">
        <v>69</v>
      </c>
      <c r="B59" s="10" t="s">
        <v>68</v>
      </c>
      <c r="C59" s="10"/>
      <c r="D59" s="10"/>
      <c r="E59" s="10"/>
      <c r="F59" s="6"/>
      <c r="G59" s="10">
        <v>0</v>
      </c>
      <c r="H59" s="10"/>
      <c r="I59" s="10"/>
      <c r="J59" s="6"/>
      <c r="K59" s="11">
        <v>0</v>
      </c>
      <c r="L59" s="11"/>
      <c r="M59" s="11"/>
      <c r="N59" s="6"/>
    </row>
    <row r="60" spans="1:14" x14ac:dyDescent="0.2">
      <c r="A60" s="3" t="s">
        <v>59</v>
      </c>
      <c r="B60" s="10">
        <v>1</v>
      </c>
      <c r="C60" s="10"/>
      <c r="D60" s="10"/>
      <c r="E60" s="10"/>
      <c r="F60" s="6"/>
      <c r="G60" s="10">
        <v>0</v>
      </c>
      <c r="H60" s="10"/>
      <c r="I60" s="10"/>
      <c r="J60" s="6"/>
      <c r="K60" s="9">
        <f>G60/B60</f>
        <v>0</v>
      </c>
      <c r="L60" s="9"/>
      <c r="M60" s="9"/>
      <c r="N60" s="6"/>
    </row>
    <row r="61" spans="1:14" x14ac:dyDescent="0.2">
      <c r="A61" s="3" t="s">
        <v>60</v>
      </c>
      <c r="B61" s="10">
        <v>69633</v>
      </c>
      <c r="C61" s="10"/>
      <c r="D61" s="10"/>
      <c r="E61" s="10"/>
      <c r="F61" s="6"/>
      <c r="G61" s="10">
        <v>0</v>
      </c>
      <c r="H61" s="10"/>
      <c r="I61" s="10"/>
      <c r="J61" s="6"/>
      <c r="K61" s="9">
        <f>G61/B61</f>
        <v>0</v>
      </c>
      <c r="L61" s="9"/>
      <c r="M61" s="9"/>
      <c r="N61" s="6"/>
    </row>
    <row r="62" spans="1:14" x14ac:dyDescent="0.2">
      <c r="A62" s="3" t="s">
        <v>61</v>
      </c>
      <c r="B62" s="10">
        <v>70352</v>
      </c>
      <c r="C62" s="10"/>
      <c r="D62" s="10"/>
      <c r="E62" s="10"/>
      <c r="F62" s="6"/>
      <c r="G62" s="10">
        <v>0</v>
      </c>
      <c r="H62" s="10"/>
      <c r="I62" s="10"/>
      <c r="J62" s="6"/>
      <c r="K62" s="9">
        <f>G62/B62</f>
        <v>0</v>
      </c>
      <c r="L62" s="9"/>
      <c r="M62" s="9"/>
      <c r="N62" s="6"/>
    </row>
    <row r="63" spans="1:14" x14ac:dyDescent="0.2">
      <c r="A63" s="3" t="s">
        <v>62</v>
      </c>
      <c r="B63" s="10">
        <v>73927</v>
      </c>
      <c r="C63" s="10"/>
      <c r="D63" s="10"/>
      <c r="E63" s="10"/>
      <c r="F63" s="6"/>
      <c r="G63" s="10">
        <v>0</v>
      </c>
      <c r="H63" s="10"/>
      <c r="I63" s="10"/>
      <c r="J63" s="6"/>
      <c r="K63" s="9">
        <f>G63/B63</f>
        <v>0</v>
      </c>
      <c r="L63" s="9"/>
      <c r="M63" s="9"/>
      <c r="N63" s="6"/>
    </row>
    <row r="64" spans="1:14" x14ac:dyDescent="0.2">
      <c r="A64" s="3" t="s">
        <v>63</v>
      </c>
      <c r="B64" s="10">
        <f>B63-B60</f>
        <v>73926</v>
      </c>
      <c r="C64" s="10"/>
      <c r="D64" s="10"/>
      <c r="E64" s="10"/>
      <c r="F64" s="6"/>
      <c r="G64" s="10">
        <v>0</v>
      </c>
      <c r="H64" s="10"/>
      <c r="I64" s="10"/>
      <c r="J64" s="6"/>
      <c r="K64" s="9">
        <f>G64/B64</f>
        <v>0</v>
      </c>
      <c r="L64" s="9"/>
      <c r="M64" s="9"/>
      <c r="N64" s="6"/>
    </row>
    <row r="65" spans="1:14" x14ac:dyDescent="0.2">
      <c r="A65" s="3" t="s">
        <v>64</v>
      </c>
      <c r="B65" s="10">
        <f>B64/(B3*10^3)</f>
        <v>0.98568</v>
      </c>
      <c r="C65" s="10"/>
      <c r="D65" s="10"/>
      <c r="E65" s="1">
        <f>B64/(E3*10^3)</f>
        <v>0.37910769230769231</v>
      </c>
      <c r="F65" s="6"/>
      <c r="G65" s="10">
        <v>0</v>
      </c>
      <c r="H65" s="10"/>
      <c r="I65" s="1">
        <f>E65-B65</f>
        <v>-0.60657230769230774</v>
      </c>
      <c r="J65" s="6"/>
      <c r="K65" s="9">
        <v>0</v>
      </c>
      <c r="L65" s="9"/>
      <c r="M65" s="5">
        <f>I65/B65</f>
        <v>-0.61538461538461542</v>
      </c>
      <c r="N65" s="6"/>
    </row>
    <row r="66" spans="1:14" x14ac:dyDescent="0.2">
      <c r="A66" s="3" t="s">
        <v>65</v>
      </c>
      <c r="B66" s="10">
        <f>B63-B61</f>
        <v>4294</v>
      </c>
      <c r="C66" s="10"/>
      <c r="D66" s="10"/>
      <c r="E66" s="10"/>
      <c r="F66" s="6"/>
      <c r="G66" s="10">
        <v>0</v>
      </c>
      <c r="H66" s="10"/>
      <c r="I66" s="10"/>
      <c r="J66" s="6"/>
      <c r="K66" s="9">
        <f>G66/B66</f>
        <v>0</v>
      </c>
      <c r="L66" s="9"/>
      <c r="M66" s="9"/>
      <c r="N66" s="6"/>
    </row>
    <row r="67" spans="1:14" x14ac:dyDescent="0.2">
      <c r="A67" s="3" t="s">
        <v>66</v>
      </c>
      <c r="B67" s="10">
        <f>B66/B3</f>
        <v>57.25333333333333</v>
      </c>
      <c r="C67" s="10"/>
      <c r="D67" s="10"/>
      <c r="E67" s="1">
        <f>B66/E3</f>
        <v>22.02051282051282</v>
      </c>
      <c r="F67" s="6"/>
      <c r="G67" s="10">
        <v>0</v>
      </c>
      <c r="H67" s="10"/>
      <c r="I67" s="1">
        <f>E67-B67</f>
        <v>-35.23282051282051</v>
      </c>
      <c r="J67" s="6"/>
      <c r="K67" s="9">
        <v>0</v>
      </c>
      <c r="L67" s="9"/>
      <c r="M67" s="5">
        <f>I67/B67</f>
        <v>-0.61538461538461542</v>
      </c>
      <c r="N67" s="6"/>
    </row>
    <row r="68" spans="1:14" x14ac:dyDescent="0.2">
      <c r="A68" s="3" t="s">
        <v>67</v>
      </c>
      <c r="B68" s="1">
        <f>B12*B65</f>
        <v>954.97606800000005</v>
      </c>
      <c r="C68" s="1">
        <f>C12*B65</f>
        <v>946.92306239999994</v>
      </c>
      <c r="D68" s="1">
        <f>D12*B65</f>
        <v>988.14419999999996</v>
      </c>
      <c r="E68" s="1">
        <f>E12*E65</f>
        <v>730.1235046153846</v>
      </c>
      <c r="F68" s="6"/>
      <c r="G68" s="1">
        <f>C68-B68</f>
        <v>-8.0530056000001196</v>
      </c>
      <c r="H68" s="1">
        <f t="shared" ref="H67:H69" si="3">D68-B68</f>
        <v>33.1681319999999</v>
      </c>
      <c r="I68" s="1">
        <f>E68-B68</f>
        <v>-224.85256338461545</v>
      </c>
      <c r="J68" s="6"/>
      <c r="K68" s="5">
        <f>G68/B68</f>
        <v>-8.4326779171183582E-3</v>
      </c>
      <c r="L68" s="5">
        <f t="shared" ref="L68" si="4">H68/B68</f>
        <v>3.4731898642720645E-2</v>
      </c>
      <c r="M68" s="5">
        <f>I68/B68</f>
        <v>-0.23545361074390342</v>
      </c>
      <c r="N68" s="6"/>
    </row>
    <row r="69" spans="1:14" x14ac:dyDescent="0.2">
      <c r="A69" s="3" t="s">
        <v>70</v>
      </c>
      <c r="B69" s="10">
        <f>1/(B65/1000)</f>
        <v>1014.5280415550685</v>
      </c>
      <c r="C69" s="10"/>
      <c r="D69" s="10"/>
      <c r="E69" s="1">
        <f>1/(E65/1000)</f>
        <v>2637.7729080431786</v>
      </c>
      <c r="F69" s="6"/>
      <c r="G69" s="10">
        <v>0</v>
      </c>
      <c r="H69" s="10"/>
      <c r="I69" s="1">
        <f>E69-B69</f>
        <v>1623.2448664881101</v>
      </c>
      <c r="J69" s="6"/>
      <c r="K69" s="9">
        <v>0</v>
      </c>
      <c r="L69" s="9"/>
      <c r="M69" s="5">
        <f>I69/B69</f>
        <v>1.6000000000000005</v>
      </c>
      <c r="N69" s="6"/>
    </row>
    <row r="70" spans="1:14" x14ac:dyDescent="0.2">
      <c r="A70" s="7"/>
      <c r="B70" s="8"/>
      <c r="C70" s="8"/>
      <c r="D70" s="8"/>
      <c r="E70" s="8"/>
      <c r="F70" s="6"/>
      <c r="G70" s="8"/>
      <c r="H70" s="8"/>
      <c r="I70" s="8"/>
      <c r="J70" s="6"/>
      <c r="K70" s="8"/>
      <c r="L70" s="8"/>
      <c r="M70" s="8"/>
      <c r="N70" s="6"/>
    </row>
  </sheetData>
  <mergeCells count="120">
    <mergeCell ref="L7:M7"/>
    <mergeCell ref="L8:M8"/>
    <mergeCell ref="L9:M9"/>
    <mergeCell ref="L10:M10"/>
    <mergeCell ref="G67:H67"/>
    <mergeCell ref="G69:H69"/>
    <mergeCell ref="G65:H65"/>
    <mergeCell ref="K65:L65"/>
    <mergeCell ref="K67:L67"/>
    <mergeCell ref="K69:L69"/>
    <mergeCell ref="G3:H3"/>
    <mergeCell ref="H7:I7"/>
    <mergeCell ref="H8:I8"/>
    <mergeCell ref="H9:I9"/>
    <mergeCell ref="H10:I10"/>
    <mergeCell ref="B67:D67"/>
    <mergeCell ref="B69:D69"/>
    <mergeCell ref="B65:D65"/>
    <mergeCell ref="B3:D3"/>
    <mergeCell ref="D7:E7"/>
    <mergeCell ref="D8:E8"/>
    <mergeCell ref="D9:E9"/>
    <mergeCell ref="D10:E10"/>
    <mergeCell ref="G42:I42"/>
    <mergeCell ref="G43:I43"/>
    <mergeCell ref="B66:E66"/>
    <mergeCell ref="G59:I59"/>
    <mergeCell ref="G60:I60"/>
    <mergeCell ref="G61:I61"/>
    <mergeCell ref="G62:I62"/>
    <mergeCell ref="G63:I63"/>
    <mergeCell ref="K60:M60"/>
    <mergeCell ref="K1:M1"/>
    <mergeCell ref="B1:E1"/>
    <mergeCell ref="A1:A2"/>
    <mergeCell ref="G1:I1"/>
    <mergeCell ref="B59:E59"/>
    <mergeCell ref="G33:I33"/>
    <mergeCell ref="G34:I34"/>
    <mergeCell ref="G35:I35"/>
    <mergeCell ref="G36:I36"/>
    <mergeCell ref="G37:I37"/>
    <mergeCell ref="G38:I38"/>
    <mergeCell ref="G39:I39"/>
    <mergeCell ref="G40:I40"/>
    <mergeCell ref="G41:I41"/>
    <mergeCell ref="K66:M66"/>
    <mergeCell ref="K64:M64"/>
    <mergeCell ref="K63:M63"/>
    <mergeCell ref="K62:M62"/>
    <mergeCell ref="K61:M61"/>
    <mergeCell ref="G64:I64"/>
    <mergeCell ref="G66:I66"/>
    <mergeCell ref="B60:E60"/>
    <mergeCell ref="B61:E61"/>
    <mergeCell ref="B62:E62"/>
    <mergeCell ref="B63:E63"/>
    <mergeCell ref="B64:E64"/>
    <mergeCell ref="C52:E52"/>
    <mergeCell ref="C53:E53"/>
    <mergeCell ref="C54:E54"/>
    <mergeCell ref="G44:I44"/>
    <mergeCell ref="C46:E46"/>
    <mergeCell ref="C47:E47"/>
    <mergeCell ref="C48:E48"/>
    <mergeCell ref="C49:E49"/>
    <mergeCell ref="K59:M59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51:E51"/>
    <mergeCell ref="C55:E55"/>
    <mergeCell ref="C56:E56"/>
    <mergeCell ref="C57:E57"/>
    <mergeCell ref="G46:I46"/>
    <mergeCell ref="G47:I47"/>
    <mergeCell ref="G48:I48"/>
    <mergeCell ref="G49:I49"/>
    <mergeCell ref="G50:I50"/>
    <mergeCell ref="G51:I51"/>
    <mergeCell ref="G52:I52"/>
    <mergeCell ref="G53:I53"/>
    <mergeCell ref="G54:I54"/>
    <mergeCell ref="G55:I55"/>
    <mergeCell ref="G56:I56"/>
    <mergeCell ref="G57:I57"/>
    <mergeCell ref="C50:E50"/>
    <mergeCell ref="K48:M48"/>
    <mergeCell ref="K54:M54"/>
    <mergeCell ref="K55:M55"/>
    <mergeCell ref="K56:M56"/>
    <mergeCell ref="K33:M33"/>
    <mergeCell ref="K34:M34"/>
    <mergeCell ref="K35:M35"/>
    <mergeCell ref="K36:M36"/>
    <mergeCell ref="K37:M37"/>
    <mergeCell ref="K38:M38"/>
    <mergeCell ref="K39:M39"/>
    <mergeCell ref="K40:M40"/>
    <mergeCell ref="K41:M41"/>
    <mergeCell ref="K42:M42"/>
    <mergeCell ref="K43:M43"/>
    <mergeCell ref="K44:M44"/>
    <mergeCell ref="K46:M46"/>
    <mergeCell ref="K47:M47"/>
    <mergeCell ref="K57:M57"/>
    <mergeCell ref="K49:M49"/>
    <mergeCell ref="K50:M50"/>
    <mergeCell ref="K51:M51"/>
    <mergeCell ref="K52:M52"/>
    <mergeCell ref="K53:M53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2026-04-19T13:29:34Z</dcterms:modified>
</cp:coreProperties>
</file>
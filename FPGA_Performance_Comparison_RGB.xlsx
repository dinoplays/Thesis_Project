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4B736910-53A8-2840-8C5D-D3FB1DFCD8F9}" xr6:coauthVersionLast="47" xr6:coauthVersionMax="47" xr10:uidLastSave="{00000000-0000-0000-0000-000000000000}"/>
  <bookViews>
    <workbookView xWindow="0" yWindow="660" windowWidth="18060" windowHeight="1776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2" i="1" l="1"/>
  <c r="C143" i="1"/>
  <c r="C129" i="1"/>
  <c r="C133" i="1"/>
  <c r="C134" i="1"/>
  <c r="C135" i="1"/>
  <c r="C136" i="1"/>
  <c r="C137" i="1"/>
  <c r="C138" i="1"/>
  <c r="C139" i="1"/>
  <c r="C140" i="1"/>
  <c r="C141" i="1"/>
  <c r="C132" i="1"/>
  <c r="C119" i="1"/>
  <c r="C120" i="1"/>
  <c r="C121" i="1"/>
  <c r="C122" i="1"/>
  <c r="C123" i="1"/>
  <c r="C124" i="1"/>
  <c r="C125" i="1"/>
  <c r="C126" i="1"/>
  <c r="C127" i="1"/>
  <c r="C128" i="1"/>
  <c r="C118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K49" i="1"/>
  <c r="G49" i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K77" i="1" s="1"/>
  <c r="G76" i="1"/>
  <c r="K76" i="1" s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<sst xmlns="http://schemas.openxmlformats.org/spreadsheetml/2006/main" count="185" uniqueCount="78">
  <si>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</si>
  <si>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</si>
  <si>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</si>
  <si>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</si>
  <si>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</si>
  <si>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</si>
  <si>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</si>
  <si>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</si>
  <si>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</si>
  <si>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</si>
  <si>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</si>
  <si>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</si>
  <si>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</si>
  <si>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</si>
  <si>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</si>
  <si>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</si>
  <si>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</si>
  <si>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</si>
  <si>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</si>
  <si>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</si>
  <si>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</si>
  <si>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</si>
  <si>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</si>
  <si>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</si>
  <si>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</si>
  <si>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</si>
  <si>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</si>
  <si>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</si>
  <si>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</si>
  <si>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</si>
  <si>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</si>
  <si>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</si>
  <si>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</si>
  <si>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</si>
  <si>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</si>
  <si>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</si>
  <si>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</si>
  <si>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</si>
  <si>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</si>
  <si>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</si>
  <si>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</si>
  <si>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</si>
  <si>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</si>
  <si>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</si>
  <si>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</si>
  <si>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</si>
  <si>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</si>
  <si>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</si>
  <si>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</si>
  <si>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</si>
  <si>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</si>
  <si>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</si>
  <si>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</si>
  <si>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</si>
  <si>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</si>
  <si>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</si>
  <si>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</si>
  <si>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</si>
  <si>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</si>
  <si>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</si>
  <si>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</si>
  <si>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</si>
  <si>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</si>
  <si>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</si>
  <si>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</si>
  <si>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</si>
  <si>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</si>
  <si>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</si>
  <si>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</si>
  <si>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</si>
  <si>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</si>
  <si>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</si>
  <si>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</si>
  <si>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</si>
  <si>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</si>
  <si>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</si>
  <si>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3136)</t>
  </si>
  <si>
    <t>Disparity Exact Match Pixels (Out Of 3136)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</si>
</sst>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75" zoomScaleNormal="110" workbookViewId="0">
      <pane xSplit="1" ySplit="2" topLeftCell="B21" activePane="bottomRight" state="frozen"/>
      <selection pane="topRight" activeCell="B1" sqref="B1"/>
      <selection pane="bottomLeft" activeCell="A3" sqref="A3"/>
      <selection pane="bottomRight" activeCell="B88" sqref="B88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1" t="s">
        <v>55</v>
      </c>
      <c r="H1" s="11"/>
      <c r="I1" s="11"/>
      <c r="J1" s="6"/>
      <c r="K1" s="11" t="s">
        <v>56</v>
      </c>
      <c r="L1" s="11"/>
      <c r="M1" s="11"/>
      <c r="N1" s="6"/>
    </row>
    <row r="2" spans="1:14" x14ac:dyDescent="0.2">
      <c r="A2" s="14"/>
      <c r="B2" s="2" t="s">
        <v>1</v>
      </c>
      <c r="C2" s="2" t="s">
        <v>2</v>
      </c>
      <c r="D2" s="9" t="s">
        <v>69</v>
      </c>
      <c r="E2" s="2" t="s">
        <v>3</v>
      </c>
      <c r="F2" s="6"/>
      <c r="G2" s="2" t="s">
        <v>2</v>
      </c>
      <c r="H2" s="9" t="s">
        <v>69</v>
      </c>
      <c r="I2" s="2" t="s">
        <v>3</v>
      </c>
      <c r="J2" s="6"/>
      <c r="K2" s="2" t="s">
        <v>2</v>
      </c>
      <c r="L2" s="9" t="s">
        <v>69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1" t="s">
        <v>72</v>
      </c>
      <c r="C33" s="11"/>
      <c r="D33" s="11"/>
      <c r="E33" s="11"/>
      <c r="F33" s="6"/>
      <c r="G33" s="11" t="s">
        <v>71</v>
      </c>
      <c r="H33" s="11"/>
      <c r="I33" s="11"/>
      <c r="J33" s="6"/>
      <c r="K33" s="11" t="s">
        <v>71</v>
      </c>
      <c r="L33" s="11"/>
      <c r="M33" s="11"/>
      <c r="N33" s="6"/>
    </row>
    <row r="34" spans="1:14" x14ac:dyDescent="0.2">
      <c r="A34" s="3" t="s">
        <v>32</v>
      </c>
      <c r="B34" s="1">
        <v>36.935268000000001</v>
      </c>
      <c r="C34" s="11">
        <v>35.655293</v>
      </c>
      <c r="D34" s="11"/>
      <c r="E34" s="11"/>
      <c r="F34" s="6"/>
      <c r="G34" s="11">
        <f t="shared" ref="G34:G45" si="7">C34-B34</f>
        <v>-1.2799750000000003</v>
      </c>
      <c r="H34" s="11"/>
      <c r="I34" s="11"/>
      <c r="J34" s="6"/>
      <c r="K34" s="10">
        <f>G34/B34</f>
        <v>-3.4654547518106552E-2</v>
      </c>
      <c r="L34" s="10"/>
      <c r="M34" s="10"/>
      <c r="N34" s="6"/>
    </row>
    <row r="35" spans="1:14" x14ac:dyDescent="0.2">
      <c r="A35" s="3" t="s">
        <v>33</v>
      </c>
      <c r="B35" s="1">
        <v>4.1183040000000002</v>
      </c>
      <c r="C35" s="11">
        <v>4.0647320000000002</v>
      </c>
      <c r="D35" s="11"/>
      <c r="E35" s="11"/>
      <c r="F35" s="6"/>
      <c r="G35" s="11">
        <f t="shared" si="7"/>
        <v>-5.3571999999999953E-2</v>
      </c>
      <c r="H35" s="11"/>
      <c r="I35" s="11"/>
      <c r="J35" s="6"/>
      <c r="K35" s="10">
        <f>G35/B35</f>
        <v>-1.300826748098245E-2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 t="s">
        <v>54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6.6195789999999999</v>
      </c>
      <c r="C40" s="11">
        <v>6.6183040000000002</v>
      </c>
      <c r="D40" s="11"/>
      <c r="E40" s="11"/>
      <c r="F40" s="6"/>
      <c r="G40" s="11">
        <f t="shared" si="7"/>
        <v>-1.274999999999693E-3</v>
      </c>
      <c r="H40" s="11"/>
      <c r="I40" s="11"/>
      <c r="J40" s="6"/>
      <c r="K40" s="10">
        <f t="shared" si="8"/>
        <v>-1.9261043640383973E-4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76</v>
      </c>
      <c r="B44" s="1">
        <v>471</v>
      </c>
      <c r="C44" s="11">
        <v>455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-3.3970276008492568E-2</v>
      </c>
      <c r="L44" s="10"/>
      <c r="M44" s="10"/>
      <c r="N44" s="6"/>
    </row>
    <row r="45" spans="1:14" x14ac:dyDescent="0.2">
      <c r="A45" s="3" t="s">
        <v>42</v>
      </c>
      <c r="B45" s="5">
        <v>0.15019133000000001</v>
      </c>
      <c r="C45" s="12">
        <v>0.14508929000000001</v>
      </c>
      <c r="D45" s="12"/>
      <c r="E45" s="12"/>
      <c r="F45" s="6"/>
      <c r="G45" s="11">
        <f t="shared" si="7"/>
        <v>-5.1020400000000021E-3</v>
      </c>
      <c r="H45" s="11"/>
      <c r="I45" s="11"/>
      <c r="J45" s="6"/>
      <c r="K45" s="10">
        <f t="shared" si="8"/>
        <v>-3.3970269788542402E-2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1" t="s">
        <v>72</v>
      </c>
      <c r="C47" s="11"/>
      <c r="D47" s="11"/>
      <c r="E47" s="11"/>
      <c r="F47" s="6"/>
      <c r="G47" s="11" t="s">
        <v>71</v>
      </c>
      <c r="H47" s="11"/>
      <c r="I47" s="11"/>
      <c r="J47" s="6"/>
      <c r="K47" s="11" t="s">
        <v>71</v>
      </c>
      <c r="L47" s="11"/>
      <c r="M47" s="11"/>
      <c r="N47" s="6"/>
    </row>
    <row r="48" spans="1:14" x14ac:dyDescent="0.2">
      <c r="A48" s="3" t="s">
        <v>43</v>
      </c>
      <c r="B48" s="1">
        <v>3.401786</v>
      </c>
      <c r="C48" s="11">
        <v>3.4068879999999999</v>
      </c>
      <c r="D48" s="11"/>
      <c r="E48" s="11"/>
      <c r="F48" s="6"/>
      <c r="G48" s="11">
        <f t="shared" ref="G48:G59" si="9">C48-B48</f>
        <v>5.1019999999999399E-3</v>
      </c>
      <c r="H48" s="11"/>
      <c r="I48" s="11"/>
      <c r="J48" s="6"/>
      <c r="K48" s="10">
        <f t="shared" ref="K48:K59" si="10">G48/B48</f>
        <v>1.4998003989668779E-3</v>
      </c>
      <c r="L48" s="10"/>
      <c r="M48" s="10"/>
      <c r="N48" s="6"/>
    </row>
    <row r="49" spans="1:14" x14ac:dyDescent="0.2">
      <c r="A49" s="3" t="s">
        <v>44</v>
      </c>
      <c r="B49" s="1">
        <v>1.770408</v>
      </c>
      <c r="C49" s="11">
        <v>1.772321</v>
      </c>
      <c r="D49" s="11"/>
      <c r="E49" s="11"/>
      <c r="F49" s="6"/>
      <c r="G49" s="11">
        <f t="shared" si="9"/>
        <v>1.9130000000000535E-3</v>
      </c>
      <c r="H49" s="11"/>
      <c r="I49" s="11"/>
      <c r="J49" s="6"/>
      <c r="K49" s="10">
        <f t="shared" si="10"/>
        <v>1.0805418863900601E-3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6.7904970000000002</v>
      </c>
      <c r="C54" s="11">
        <v>6.78986</v>
      </c>
      <c r="D54" s="11"/>
      <c r="E54" s="11"/>
      <c r="F54" s="6"/>
      <c r="G54" s="11">
        <f t="shared" si="9"/>
        <v>-6.3700000000022072E-4</v>
      </c>
      <c r="H54" s="11"/>
      <c r="I54" s="11"/>
      <c r="J54" s="6"/>
      <c r="K54" s="10">
        <f t="shared" si="10"/>
        <v>-9.3807566662678849E-5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77</v>
      </c>
      <c r="B58" s="1">
        <v>61</v>
      </c>
      <c r="C58" s="11">
        <v>60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-1.6393442622950821E-2</v>
      </c>
      <c r="L58" s="10"/>
      <c r="M58" s="10"/>
      <c r="N58" s="6"/>
    </row>
    <row r="59" spans="1:14" x14ac:dyDescent="0.2">
      <c r="A59" s="3" t="s">
        <v>53</v>
      </c>
      <c r="B59" s="5">
        <v>1.9451530000000002E-2</v>
      </c>
      <c r="C59" s="10">
        <v>1.9132650000000001E-2</v>
      </c>
      <c r="D59" s="10"/>
      <c r="E59" s="10"/>
      <c r="F59" s="6"/>
      <c r="G59" s="11">
        <f t="shared" si="9"/>
        <v>-3.1888000000000055E-4</v>
      </c>
      <c r="H59" s="11"/>
      <c r="I59" s="11"/>
      <c r="J59" s="6"/>
      <c r="K59" s="10">
        <f t="shared" si="10"/>
        <v>-1.6393569040584494E-2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1" t="s">
        <v>73</v>
      </c>
      <c r="C61" s="11"/>
      <c r="D61" s="11"/>
      <c r="E61" s="11"/>
      <c r="F61" s="6"/>
      <c r="G61" s="11" t="s">
        <v>71</v>
      </c>
      <c r="H61" s="11"/>
      <c r="I61" s="11"/>
      <c r="J61" s="6"/>
      <c r="K61" s="11" t="s">
        <v>71</v>
      </c>
      <c r="L61" s="11"/>
      <c r="M61" s="11"/>
      <c r="N61" s="6"/>
    </row>
    <row r="62" spans="1:14" x14ac:dyDescent="0.2">
      <c r="A62" s="3" t="s">
        <v>32</v>
      </c>
      <c r="B62" s="1">
        <v>128.02455399999999</v>
      </c>
      <c r="C62" s="11">
        <v>124.003508</v>
      </c>
      <c r="D62" s="11"/>
      <c r="E62" s="11"/>
      <c r="F62" s="6"/>
      <c r="G62" s="11">
        <f t="shared" ref="G62:G73" si="11">C62-B62</f>
        <v>-4.0210459999999983</v>
      </c>
      <c r="H62" s="11"/>
      <c r="I62" s="11"/>
      <c r="J62" s="6"/>
      <c r="K62" s="10">
        <f>G62/B62</f>
        <v>-3.140839686112086E-2</v>
      </c>
      <c r="L62" s="10"/>
      <c r="M62" s="10"/>
      <c r="N62" s="6"/>
    </row>
    <row r="63" spans="1:14" x14ac:dyDescent="0.2">
      <c r="A63" s="3" t="s">
        <v>33</v>
      </c>
      <c r="B63" s="1">
        <v>9.3899869999999996</v>
      </c>
      <c r="C63" s="11">
        <v>9.2522319999999993</v>
      </c>
      <c r="D63" s="11"/>
      <c r="E63" s="11"/>
      <c r="F63" s="6"/>
      <c r="G63" s="11">
        <f t="shared" si="11"/>
        <v>-0.13775500000000029</v>
      </c>
      <c r="H63" s="11"/>
      <c r="I63" s="11"/>
      <c r="J63" s="6"/>
      <c r="K63" s="10">
        <f>G63/B63</f>
        <v>-1.4670414346686561E-2</v>
      </c>
      <c r="L63" s="10"/>
      <c r="M63" s="10"/>
      <c r="N63" s="6"/>
    </row>
    <row r="64" spans="1:14" x14ac:dyDescent="0.2">
      <c r="A64" s="3" t="s">
        <v>34</v>
      </c>
      <c r="B64" s="1">
        <v>8</v>
      </c>
      <c r="C64" s="11">
        <v>8</v>
      </c>
      <c r="D64" s="11"/>
      <c r="E64" s="11"/>
      <c r="F64" s="6"/>
      <c r="G64" s="11">
        <f t="shared" si="11"/>
        <v>0</v>
      </c>
      <c r="H64" s="11"/>
      <c r="I64" s="11"/>
      <c r="J64" s="6"/>
      <c r="K64" s="10">
        <f>G64/B64</f>
        <v>0</v>
      </c>
      <c r="L64" s="10"/>
      <c r="M64" s="10"/>
      <c r="N64" s="6"/>
    </row>
    <row r="65" spans="1:14" x14ac:dyDescent="0.2">
      <c r="A65" s="3" t="s">
        <v>35</v>
      </c>
      <c r="B65" s="1">
        <v>8</v>
      </c>
      <c r="C65" s="11">
        <v>8</v>
      </c>
      <c r="D65" s="11"/>
      <c r="E65" s="11"/>
      <c r="F65" s="6"/>
      <c r="G65" s="11">
        <f t="shared" si="11"/>
        <v>0</v>
      </c>
      <c r="H65" s="11"/>
      <c r="I65" s="11"/>
      <c r="J65" s="6"/>
      <c r="K65" s="10">
        <f>G65/B65</f>
        <v>0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 t="s">
        <v>54</v>
      </c>
      <c r="L66" s="10"/>
      <c r="M66" s="10"/>
      <c r="N66" s="6"/>
    </row>
    <row r="67" spans="1:14" x14ac:dyDescent="0.2">
      <c r="A67" s="3" t="s">
        <v>37</v>
      </c>
      <c r="B67" s="1">
        <v>40</v>
      </c>
      <c r="C67" s="11">
        <v>39</v>
      </c>
      <c r="D67" s="11"/>
      <c r="E67" s="11"/>
      <c r="F67" s="6"/>
      <c r="G67" s="11">
        <f t="shared" si="11"/>
        <v>-1</v>
      </c>
      <c r="H67" s="11"/>
      <c r="I67" s="11"/>
      <c r="J67" s="6"/>
      <c r="K67" s="10">
        <f t="shared" ref="K67:K73" si="12">G67/B67</f>
        <v>-2.5000000000000001E-2</v>
      </c>
      <c r="L67" s="10"/>
      <c r="M67" s="10"/>
      <c r="N67" s="6"/>
    </row>
    <row r="68" spans="1:14" x14ac:dyDescent="0.2">
      <c r="A68" s="3" t="s">
        <v>38</v>
      </c>
      <c r="B68" s="1">
        <v>5.8580990000000002</v>
      </c>
      <c r="C68" s="11">
        <v>5.8427930000000003</v>
      </c>
      <c r="D68" s="11"/>
      <c r="E68" s="11"/>
      <c r="F68" s="6"/>
      <c r="G68" s="11">
        <f t="shared" si="11"/>
        <v>-1.530599999999982E-2</v>
      </c>
      <c r="H68" s="11"/>
      <c r="I68" s="11"/>
      <c r="J68" s="6"/>
      <c r="K68" s="10">
        <f t="shared" si="12"/>
        <v>-2.6127929896711919E-3</v>
      </c>
      <c r="L68" s="10"/>
      <c r="M68" s="10"/>
      <c r="N68" s="6"/>
    </row>
    <row r="69" spans="1:14" x14ac:dyDescent="0.2">
      <c r="A69" s="3" t="s">
        <v>39</v>
      </c>
      <c r="B69" s="1">
        <v>6</v>
      </c>
      <c r="C69" s="11">
        <v>6</v>
      </c>
      <c r="D69" s="11"/>
      <c r="E69" s="11"/>
      <c r="F69" s="6"/>
      <c r="G69" s="11">
        <f t="shared" si="11"/>
        <v>0</v>
      </c>
      <c r="H69" s="11"/>
      <c r="I69" s="11"/>
      <c r="J69" s="6"/>
      <c r="K69" s="10">
        <f t="shared" si="12"/>
        <v>0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76</v>
      </c>
      <c r="B72" s="1">
        <v>23</v>
      </c>
      <c r="C72" s="11">
        <v>23</v>
      </c>
      <c r="D72" s="11"/>
      <c r="E72" s="11"/>
      <c r="F72" s="6"/>
      <c r="G72" s="11">
        <f t="shared" si="11"/>
        <v>0</v>
      </c>
      <c r="H72" s="11"/>
      <c r="I72" s="11"/>
      <c r="J72" s="6"/>
      <c r="K72" s="10">
        <f t="shared" si="12"/>
        <v>0</v>
      </c>
      <c r="L72" s="10"/>
      <c r="M72" s="10"/>
      <c r="N72" s="6"/>
    </row>
    <row r="73" spans="1:14" x14ac:dyDescent="0.2">
      <c r="A73" s="3" t="s">
        <v>42</v>
      </c>
      <c r="B73" s="5">
        <v>7.33418E-3</v>
      </c>
      <c r="C73" s="12">
        <v>7.33418E-3</v>
      </c>
      <c r="D73" s="12"/>
      <c r="E73" s="12"/>
      <c r="F73" s="6"/>
      <c r="G73" s="11">
        <f t="shared" si="11"/>
        <v>0</v>
      </c>
      <c r="H73" s="11"/>
      <c r="I73" s="11"/>
      <c r="J73" s="6"/>
      <c r="K73" s="10">
        <f t="shared" si="12"/>
        <v>0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1" t="s">
        <v>73</v>
      </c>
      <c r="C75" s="11"/>
      <c r="D75" s="11"/>
      <c r="E75" s="11"/>
      <c r="F75" s="6"/>
      <c r="G75" s="11" t="s">
        <v>71</v>
      </c>
      <c r="H75" s="11"/>
      <c r="I75" s="11"/>
      <c r="J75" s="6"/>
      <c r="K75" s="11" t="s">
        <v>71</v>
      </c>
      <c r="L75" s="11"/>
      <c r="M75" s="11"/>
      <c r="N75" s="6"/>
    </row>
    <row r="76" spans="1:14" x14ac:dyDescent="0.2">
      <c r="A76" s="3" t="s">
        <v>43</v>
      </c>
      <c r="B76" s="1">
        <v>0</v>
      </c>
      <c r="C76" s="11">
        <v>0</v>
      </c>
      <c r="D76" s="11"/>
      <c r="E76" s="11"/>
      <c r="F76" s="6"/>
      <c r="G76" s="11">
        <f t="shared" ref="G76:G87" si="13">C76-B76</f>
        <v>0</v>
      </c>
      <c r="H76" s="11"/>
      <c r="I76" s="11"/>
      <c r="J76" s="6"/>
      <c r="K76" s="10" t="e">
        <f t="shared" ref="K76:K87" si="14">G76/B76</f>
        <v>#DIV/0!</v>
      </c>
      <c r="L76" s="10"/>
      <c r="M76" s="10"/>
      <c r="N76" s="6"/>
    </row>
    <row r="77" spans="1:14" x14ac:dyDescent="0.2">
      <c r="A77" s="3" t="s">
        <v>44</v>
      </c>
      <c r="B77" s="1">
        <v>0</v>
      </c>
      <c r="C77" s="11">
        <v>0</v>
      </c>
      <c r="D77" s="11"/>
      <c r="E77" s="11"/>
      <c r="F77" s="6"/>
      <c r="G77" s="11">
        <f t="shared" si="13"/>
        <v>0</v>
      </c>
      <c r="H77" s="11"/>
      <c r="I77" s="11"/>
      <c r="J77" s="6"/>
      <c r="K77" s="10" t="e">
        <f t="shared" si="14"/>
        <v>#DIV/0!</v>
      </c>
      <c r="L77" s="10"/>
      <c r="M77" s="10"/>
      <c r="N77" s="6"/>
    </row>
    <row r="78" spans="1:14" x14ac:dyDescent="0.2">
      <c r="A78" s="3" t="s">
        <v>45</v>
      </c>
      <c r="B78" s="1">
        <v>0</v>
      </c>
      <c r="C78" s="11">
        <v>0</v>
      </c>
      <c r="D78" s="11"/>
      <c r="E78" s="11"/>
      <c r="F78" s="6"/>
      <c r="G78" s="11">
        <f t="shared" si="13"/>
        <v>0</v>
      </c>
      <c r="H78" s="11"/>
      <c r="I78" s="11"/>
      <c r="J78" s="6"/>
      <c r="K78" s="10" t="e">
        <f t="shared" si="14"/>
        <v>#DIV/0!</v>
      </c>
      <c r="L78" s="10"/>
      <c r="M78" s="10"/>
      <c r="N78" s="6"/>
    </row>
    <row r="79" spans="1:14" x14ac:dyDescent="0.2">
      <c r="A79" s="3" t="s">
        <v>46</v>
      </c>
      <c r="B79" s="1">
        <v>0</v>
      </c>
      <c r="C79" s="11">
        <v>0</v>
      </c>
      <c r="D79" s="11"/>
      <c r="E79" s="11"/>
      <c r="F79" s="6"/>
      <c r="G79" s="11">
        <f t="shared" si="13"/>
        <v>0</v>
      </c>
      <c r="H79" s="11"/>
      <c r="I79" s="11"/>
      <c r="J79" s="6"/>
      <c r="K79" s="10" t="e">
        <f t="shared" si="14"/>
        <v>#DIV/0!</v>
      </c>
      <c r="L79" s="10"/>
      <c r="M79" s="10"/>
      <c r="N79" s="6"/>
    </row>
    <row r="80" spans="1:14" x14ac:dyDescent="0.2">
      <c r="A80" s="3" t="s">
        <v>47</v>
      </c>
      <c r="B80" s="1">
        <v>0</v>
      </c>
      <c r="C80" s="11">
        <v>0</v>
      </c>
      <c r="D80" s="11"/>
      <c r="E80" s="11"/>
      <c r="F80" s="6"/>
      <c r="G80" s="11">
        <f t="shared" si="13"/>
        <v>0</v>
      </c>
      <c r="H80" s="11"/>
      <c r="I80" s="11"/>
      <c r="J80" s="6"/>
      <c r="K80" s="10" t="e">
        <f t="shared" si="14"/>
        <v>#DIV/0!</v>
      </c>
      <c r="L80" s="10"/>
      <c r="M80" s="10"/>
      <c r="N80" s="6"/>
    </row>
    <row r="81" spans="1:14" x14ac:dyDescent="0.2">
      <c r="A81" s="3" t="s">
        <v>48</v>
      </c>
      <c r="B81" s="1">
        <v>0</v>
      </c>
      <c r="C81" s="11">
        <v>0</v>
      </c>
      <c r="D81" s="11"/>
      <c r="E81" s="11"/>
      <c r="F81" s="6"/>
      <c r="G81" s="11">
        <f t="shared" si="13"/>
        <v>0</v>
      </c>
      <c r="H81" s="11"/>
      <c r="I81" s="11"/>
      <c r="J81" s="6"/>
      <c r="K81" s="10" t="e">
        <f t="shared" si="14"/>
        <v>#DIV/0!</v>
      </c>
      <c r="L81" s="10"/>
      <c r="M81" s="10"/>
      <c r="N81" s="6"/>
    </row>
    <row r="82" spans="1:14" x14ac:dyDescent="0.2">
      <c r="A82" s="3" t="s">
        <v>49</v>
      </c>
      <c r="B82" s="1">
        <v>8</v>
      </c>
      <c r="C82" s="11">
        <v>8</v>
      </c>
      <c r="D82" s="11"/>
      <c r="E82" s="11"/>
      <c r="F82" s="6"/>
      <c r="G82" s="11">
        <f t="shared" si="13"/>
        <v>0</v>
      </c>
      <c r="H82" s="11"/>
      <c r="I82" s="11"/>
      <c r="J82" s="6"/>
      <c r="K82" s="10">
        <f t="shared" si="14"/>
        <v>0</v>
      </c>
      <c r="L82" s="10"/>
      <c r="M82" s="10"/>
      <c r="N82" s="6"/>
    </row>
    <row r="83" spans="1:14" x14ac:dyDescent="0.2">
      <c r="A83" s="3" t="s">
        <v>50</v>
      </c>
      <c r="B83" s="1">
        <v>8</v>
      </c>
      <c r="C83" s="11">
        <v>8</v>
      </c>
      <c r="D83" s="11"/>
      <c r="E83" s="11"/>
      <c r="F83" s="6"/>
      <c r="G83" s="11">
        <f t="shared" si="13"/>
        <v>0</v>
      </c>
      <c r="H83" s="11"/>
      <c r="I83" s="11"/>
      <c r="J83" s="6"/>
      <c r="K83" s="10">
        <f t="shared" si="14"/>
        <v>0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8</v>
      </c>
      <c r="C85" s="11">
        <v>8</v>
      </c>
      <c r="D85" s="11"/>
      <c r="E85" s="11"/>
      <c r="F85" s="6"/>
      <c r="G85" s="11">
        <f t="shared" si="13"/>
        <v>0</v>
      </c>
      <c r="H85" s="11"/>
      <c r="I85" s="11"/>
      <c r="J85" s="6"/>
      <c r="K85" s="10">
        <f t="shared" si="14"/>
        <v>0</v>
      </c>
      <c r="L85" s="10"/>
      <c r="M85" s="10"/>
      <c r="N85" s="6"/>
    </row>
    <row r="86" spans="1:14" x14ac:dyDescent="0.2">
      <c r="A86" s="3" t="s">
        <v>77</v>
      </c>
      <c r="B86" s="1">
        <v>3136</v>
      </c>
      <c r="C86" s="11">
        <v>3136</v>
      </c>
      <c r="D86" s="11"/>
      <c r="E86" s="11"/>
      <c r="F86" s="6"/>
      <c r="G86" s="11">
        <f t="shared" si="13"/>
        <v>0</v>
      </c>
      <c r="H86" s="11"/>
      <c r="I86" s="11"/>
      <c r="J86" s="6"/>
      <c r="K86" s="10">
        <f t="shared" si="14"/>
        <v>0</v>
      </c>
      <c r="L86" s="10"/>
      <c r="M86" s="10"/>
      <c r="N86" s="6"/>
    </row>
    <row r="87" spans="1:14" x14ac:dyDescent="0.2">
      <c r="A87" s="3" t="s">
        <v>53</v>
      </c>
      <c r="B87" s="5">
        <v>1</v>
      </c>
      <c r="C87" s="10">
        <v>1</v>
      </c>
      <c r="D87" s="10"/>
      <c r="E87" s="10"/>
      <c r="F87" s="6"/>
      <c r="G87" s="11">
        <f t="shared" si="13"/>
        <v>0</v>
      </c>
      <c r="H87" s="11"/>
      <c r="I87" s="11"/>
      <c r="J87" s="6"/>
      <c r="K87" s="10">
        <f t="shared" si="14"/>
        <v>0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1" t="s">
        <v>74</v>
      </c>
      <c r="C89" s="11"/>
      <c r="D89" s="11"/>
      <c r="E89" s="11"/>
      <c r="F89" s="6"/>
      <c r="G89" s="11" t="s">
        <v>71</v>
      </c>
      <c r="H89" s="11"/>
      <c r="I89" s="11"/>
      <c r="J89" s="6"/>
      <c r="K89" s="11" t="s">
        <v>71</v>
      </c>
      <c r="L89" s="11"/>
      <c r="M89" s="11"/>
      <c r="N89" s="6"/>
    </row>
    <row r="90" spans="1:14" x14ac:dyDescent="0.2">
      <c r="A90" s="3" t="s">
        <v>32</v>
      </c>
      <c r="B90" s="1">
        <v>8.9113520000000008</v>
      </c>
      <c r="C90" s="11">
        <v>8.6871810000000007</v>
      </c>
      <c r="D90" s="11"/>
      <c r="E90" s="11"/>
      <c r="F90" s="6"/>
      <c r="G90" s="11">
        <f t="shared" ref="G90:G101" si="15">C90-B90</f>
        <v>-0.22417100000000012</v>
      </c>
      <c r="H90" s="11"/>
      <c r="I90" s="11"/>
      <c r="J90" s="6"/>
      <c r="K90" s="10">
        <f>G90/B90</f>
        <v>-2.5155666614897505E-2</v>
      </c>
      <c r="L90" s="10"/>
      <c r="M90" s="10"/>
      <c r="N90" s="6"/>
    </row>
    <row r="91" spans="1:14" x14ac:dyDescent="0.2">
      <c r="A91" s="3" t="s">
        <v>33</v>
      </c>
      <c r="B91" s="1">
        <v>2.2079080000000002</v>
      </c>
      <c r="C91" s="11">
        <v>2.1980230000000001</v>
      </c>
      <c r="D91" s="11"/>
      <c r="E91" s="11"/>
      <c r="F91" s="6"/>
      <c r="G91" s="11">
        <f t="shared" si="15"/>
        <v>-9.8850000000001437E-3</v>
      </c>
      <c r="H91" s="11"/>
      <c r="I91" s="11"/>
      <c r="J91" s="6"/>
      <c r="K91" s="10">
        <f>G91/B91</f>
        <v>-4.4770887192764116E-3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 t="s">
        <v>54</v>
      </c>
      <c r="L94" s="10"/>
      <c r="M94" s="10"/>
      <c r="N94" s="6"/>
    </row>
    <row r="95" spans="1:14" x14ac:dyDescent="0.2">
      <c r="A95" s="3" t="s">
        <v>37</v>
      </c>
      <c r="B95" s="1">
        <v>12</v>
      </c>
      <c r="C95" s="11">
        <v>12</v>
      </c>
      <c r="D95" s="11"/>
      <c r="E95" s="11"/>
      <c r="F95" s="6"/>
      <c r="G95" s="11">
        <f t="shared" si="15"/>
        <v>0</v>
      </c>
      <c r="H95" s="11"/>
      <c r="I95" s="11"/>
      <c r="J95" s="6"/>
      <c r="K95" s="10">
        <f t="shared" ref="K95:K101" si="16">G95/B95</f>
        <v>0</v>
      </c>
      <c r="L95" s="10"/>
      <c r="M95" s="10"/>
      <c r="N95" s="6"/>
    </row>
    <row r="96" spans="1:14" x14ac:dyDescent="0.2">
      <c r="A96" s="3" t="s">
        <v>38</v>
      </c>
      <c r="B96" s="1">
        <v>6.8000639999999999</v>
      </c>
      <c r="C96" s="11">
        <v>6.7997449999999997</v>
      </c>
      <c r="D96" s="11"/>
      <c r="E96" s="11"/>
      <c r="F96" s="6"/>
      <c r="G96" s="11">
        <f t="shared" si="15"/>
        <v>-3.1900000000018025E-4</v>
      </c>
      <c r="H96" s="11"/>
      <c r="I96" s="11"/>
      <c r="J96" s="6"/>
      <c r="K96" s="10">
        <f t="shared" si="16"/>
        <v>-4.6911323187572975E-5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4</v>
      </c>
      <c r="C99" s="11">
        <v>4</v>
      </c>
      <c r="D99" s="11"/>
      <c r="E99" s="11"/>
      <c r="F99" s="6"/>
      <c r="G99" s="11">
        <f t="shared" si="15"/>
        <v>0</v>
      </c>
      <c r="H99" s="11"/>
      <c r="I99" s="11"/>
      <c r="J99" s="6"/>
      <c r="K99" s="10">
        <f t="shared" si="16"/>
        <v>0</v>
      </c>
      <c r="L99" s="10"/>
      <c r="M99" s="10"/>
      <c r="N99" s="6"/>
    </row>
    <row r="100" spans="1:14" x14ac:dyDescent="0.2">
      <c r="A100" s="3" t="s">
        <v>76</v>
      </c>
      <c r="B100" s="1">
        <v>211</v>
      </c>
      <c r="C100" s="11">
        <v>194</v>
      </c>
      <c r="D100" s="11"/>
      <c r="E100" s="11"/>
      <c r="F100" s="6"/>
      <c r="G100" s="11">
        <f t="shared" si="15"/>
        <v>-17</v>
      </c>
      <c r="H100" s="11"/>
      <c r="I100" s="11"/>
      <c r="J100" s="6"/>
      <c r="K100" s="10">
        <f t="shared" si="16"/>
        <v>-8.0568720379146919E-2</v>
      </c>
      <c r="L100" s="10"/>
      <c r="M100" s="10"/>
      <c r="N100" s="6"/>
    </row>
    <row r="101" spans="1:14" x14ac:dyDescent="0.2">
      <c r="A101" s="3" t="s">
        <v>42</v>
      </c>
      <c r="B101" s="5">
        <v>6.7283159999999995E-2</v>
      </c>
      <c r="C101" s="12">
        <v>6.1862239999999999E-2</v>
      </c>
      <c r="D101" s="12"/>
      <c r="E101" s="12"/>
      <c r="F101" s="6"/>
      <c r="G101" s="11">
        <f t="shared" si="15"/>
        <v>-5.4209199999999957E-3</v>
      </c>
      <c r="H101" s="11"/>
      <c r="I101" s="11"/>
      <c r="J101" s="6"/>
      <c r="K101" s="10">
        <f t="shared" si="16"/>
        <v>-8.0568748554615988E-2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1" t="s">
        <v>74</v>
      </c>
      <c r="C103" s="11"/>
      <c r="D103" s="11"/>
      <c r="E103" s="11"/>
      <c r="F103" s="6"/>
      <c r="G103" s="11" t="s">
        <v>71</v>
      </c>
      <c r="H103" s="11"/>
      <c r="I103" s="11"/>
      <c r="J103" s="6"/>
      <c r="K103" s="11" t="s">
        <v>71</v>
      </c>
      <c r="L103" s="11"/>
      <c r="M103" s="11"/>
      <c r="N103" s="6"/>
    </row>
    <row r="104" spans="1:14" x14ac:dyDescent="0.2">
      <c r="A104" s="3" t="s">
        <v>43</v>
      </c>
      <c r="B104" s="1">
        <v>9.8849999999999997E-3</v>
      </c>
      <c r="C104" s="11">
        <v>0.11926</v>
      </c>
      <c r="D104" s="11"/>
      <c r="E104" s="11"/>
      <c r="F104" s="6"/>
      <c r="G104" s="11">
        <f t="shared" ref="G104:G115" si="17">C104-B104</f>
        <v>0.109375</v>
      </c>
      <c r="H104" s="11"/>
      <c r="I104" s="11"/>
      <c r="J104" s="6"/>
      <c r="K104" s="10">
        <f t="shared" ref="K104:K115" si="18">G104/B104</f>
        <v>11.064744562468388</v>
      </c>
      <c r="L104" s="10"/>
      <c r="M104" s="10"/>
      <c r="N104" s="6"/>
    </row>
    <row r="105" spans="1:14" x14ac:dyDescent="0.2">
      <c r="A105" s="3" t="s">
        <v>44</v>
      </c>
      <c r="B105" s="1">
        <v>9.8849999999999997E-3</v>
      </c>
      <c r="C105" s="11">
        <v>2.6148000000000001E-2</v>
      </c>
      <c r="D105" s="11"/>
      <c r="E105" s="11"/>
      <c r="F105" s="6"/>
      <c r="G105" s="11">
        <f t="shared" si="17"/>
        <v>1.6263E-2</v>
      </c>
      <c r="H105" s="11"/>
      <c r="I105" s="11"/>
      <c r="J105" s="6"/>
      <c r="K105" s="10">
        <f t="shared" si="18"/>
        <v>1.6452200303490137</v>
      </c>
      <c r="L105" s="10"/>
      <c r="M105" s="10"/>
      <c r="N105" s="6"/>
    </row>
    <row r="106" spans="1:14" x14ac:dyDescent="0.2">
      <c r="A106" s="3" t="s">
        <v>45</v>
      </c>
      <c r="B106" s="1">
        <v>0</v>
      </c>
      <c r="C106" s="11">
        <v>0</v>
      </c>
      <c r="D106" s="11"/>
      <c r="E106" s="11"/>
      <c r="F106" s="6"/>
      <c r="G106" s="11">
        <f t="shared" si="17"/>
        <v>0</v>
      </c>
      <c r="H106" s="11"/>
      <c r="I106" s="11"/>
      <c r="J106" s="6"/>
      <c r="K106" s="10" t="e">
        <f t="shared" si="18"/>
        <v>#DIV/0!</v>
      </c>
      <c r="L106" s="10"/>
      <c r="M106" s="10"/>
      <c r="N106" s="6"/>
    </row>
    <row r="107" spans="1:14" x14ac:dyDescent="0.2">
      <c r="A107" s="3" t="s">
        <v>46</v>
      </c>
      <c r="B107" s="1">
        <v>0</v>
      </c>
      <c r="C107" s="11">
        <v>0</v>
      </c>
      <c r="D107" s="11"/>
      <c r="E107" s="11"/>
      <c r="F107" s="6"/>
      <c r="G107" s="11">
        <f t="shared" si="17"/>
        <v>0</v>
      </c>
      <c r="H107" s="11"/>
      <c r="I107" s="11"/>
      <c r="J107" s="6"/>
      <c r="K107" s="10" t="e">
        <f t="shared" si="18"/>
        <v>#DIV/0!</v>
      </c>
      <c r="L107" s="10"/>
      <c r="M107" s="10"/>
      <c r="N107" s="6"/>
    </row>
    <row r="108" spans="1:14" x14ac:dyDescent="0.2">
      <c r="A108" s="3" t="s">
        <v>47</v>
      </c>
      <c r="B108" s="1">
        <v>-1</v>
      </c>
      <c r="C108" s="11">
        <v>-1</v>
      </c>
      <c r="D108" s="11"/>
      <c r="E108" s="11"/>
      <c r="F108" s="6"/>
      <c r="G108" s="11">
        <f t="shared" si="17"/>
        <v>0</v>
      </c>
      <c r="H108" s="11"/>
      <c r="I108" s="11"/>
      <c r="J108" s="6"/>
      <c r="K108" s="10">
        <f t="shared" si="18"/>
        <v>0</v>
      </c>
      <c r="L108" s="10"/>
      <c r="M108" s="10"/>
      <c r="N108" s="6"/>
    </row>
    <row r="109" spans="1:14" x14ac:dyDescent="0.2">
      <c r="A109" s="3" t="s">
        <v>48</v>
      </c>
      <c r="B109" s="1">
        <v>0</v>
      </c>
      <c r="C109" s="11">
        <v>11</v>
      </c>
      <c r="D109" s="11"/>
      <c r="E109" s="11"/>
      <c r="F109" s="6"/>
      <c r="G109" s="11">
        <f t="shared" si="17"/>
        <v>11</v>
      </c>
      <c r="H109" s="11"/>
      <c r="I109" s="11"/>
      <c r="J109" s="6"/>
      <c r="K109" s="10" t="e">
        <f t="shared" si="18"/>
        <v>#DIV/0!</v>
      </c>
      <c r="L109" s="10"/>
      <c r="M109" s="10"/>
      <c r="N109" s="6"/>
    </row>
    <row r="110" spans="1:14" x14ac:dyDescent="0.2">
      <c r="A110" s="3" t="s">
        <v>49</v>
      </c>
      <c r="B110" s="1">
        <v>7.9901150000000003</v>
      </c>
      <c r="C110" s="11">
        <v>7.9846940000000002</v>
      </c>
      <c r="D110" s="11"/>
      <c r="E110" s="11"/>
      <c r="F110" s="6"/>
      <c r="G110" s="11">
        <f t="shared" si="17"/>
        <v>-5.4210000000001202E-3</v>
      </c>
      <c r="H110" s="11"/>
      <c r="I110" s="11"/>
      <c r="J110" s="6"/>
      <c r="K110" s="10">
        <f t="shared" si="18"/>
        <v>-6.7846332624750961E-4</v>
      </c>
      <c r="L110" s="10"/>
      <c r="M110" s="10"/>
      <c r="N110" s="6"/>
    </row>
    <row r="111" spans="1:14" x14ac:dyDescent="0.2">
      <c r="A111" s="3" t="s">
        <v>50</v>
      </c>
      <c r="B111" s="1">
        <v>8</v>
      </c>
      <c r="C111" s="11">
        <v>8</v>
      </c>
      <c r="D111" s="11"/>
      <c r="E111" s="11"/>
      <c r="F111" s="6"/>
      <c r="G111" s="11">
        <f t="shared" si="17"/>
        <v>0</v>
      </c>
      <c r="H111" s="11"/>
      <c r="I111" s="11"/>
      <c r="J111" s="6"/>
      <c r="K111" s="10">
        <f t="shared" si="18"/>
        <v>0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7</v>
      </c>
      <c r="C113" s="11">
        <v>5</v>
      </c>
      <c r="D113" s="11"/>
      <c r="E113" s="11"/>
      <c r="F113" s="6"/>
      <c r="G113" s="11">
        <f t="shared" si="17"/>
        <v>-2</v>
      </c>
      <c r="H113" s="11"/>
      <c r="I113" s="11"/>
      <c r="J113" s="6"/>
      <c r="K113" s="10">
        <f t="shared" si="18"/>
        <v>-0.2857142857142857</v>
      </c>
      <c r="L113" s="10"/>
      <c r="M113" s="10"/>
      <c r="N113" s="6"/>
    </row>
    <row r="114" spans="1:14" x14ac:dyDescent="0.2">
      <c r="A114" s="3" t="s">
        <v>77</v>
      </c>
      <c r="B114" s="1">
        <v>3105</v>
      </c>
      <c r="C114" s="11">
        <v>3093</v>
      </c>
      <c r="D114" s="11"/>
      <c r="E114" s="11"/>
      <c r="F114" s="6"/>
      <c r="G114" s="11">
        <f t="shared" si="17"/>
        <v>-12</v>
      </c>
      <c r="H114" s="11"/>
      <c r="I114" s="11"/>
      <c r="J114" s="6"/>
      <c r="K114" s="10">
        <f t="shared" si="18"/>
        <v>-3.8647342995169081E-3</v>
      </c>
      <c r="L114" s="10"/>
      <c r="M114" s="10"/>
      <c r="N114" s="6"/>
    </row>
    <row r="115" spans="1:14" x14ac:dyDescent="0.2">
      <c r="A115" s="3" t="s">
        <v>53</v>
      </c>
      <c r="B115" s="5">
        <v>0.99011479999999996</v>
      </c>
      <c r="C115" s="10">
        <v>0.98628826999999997</v>
      </c>
      <c r="D115" s="10"/>
      <c r="E115" s="10"/>
      <c r="F115" s="6"/>
      <c r="G115" s="11">
        <f t="shared" si="17"/>
        <v>-3.8265299999999947E-3</v>
      </c>
      <c r="H115" s="11"/>
      <c r="I115" s="11"/>
      <c r="J115" s="6"/>
      <c r="K115" s="10">
        <f t="shared" si="18"/>
        <v>-3.8647336652275015E-3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1" t="s">
        <v>75</v>
      </c>
      <c r="C117" s="11"/>
      <c r="D117" s="11"/>
      <c r="E117" s="11"/>
      <c r="F117" s="6"/>
      <c r="G117" s="11" t="s">
        <v>71</v>
      </c>
      <c r="H117" s="11"/>
      <c r="I117" s="11"/>
      <c r="J117" s="6"/>
      <c r="K117" s="11" t="s">
        <v>71</v>
      </c>
      <c r="L117" s="11"/>
      <c r="M117" s="11"/>
      <c r="N117" s="6"/>
    </row>
    <row r="118" spans="1:14" x14ac:dyDescent="0.2">
      <c r="A118" s="3" t="s">
        <v>32</v>
      </c>
      <c r="B118" s="1">
        <v>36.935268000000001</v>
      </c>
      <c r="C118" s="11">
        <f>AVERAGE(C62,C34,C90)</f>
        <v>56.115327333333333</v>
      </c>
      <c r="D118" s="11"/>
      <c r="E118" s="11"/>
      <c r="F118" s="6"/>
      <c r="G118" s="11">
        <f t="shared" ref="G118:G129" si="19">C118-B118</f>
        <v>19.180059333333332</v>
      </c>
      <c r="H118" s="11"/>
      <c r="I118" s="11"/>
      <c r="J118" s="6"/>
      <c r="K118" s="10">
        <f>G118/B118</f>
        <v>0.51928848420250617</v>
      </c>
      <c r="L118" s="10"/>
      <c r="M118" s="10"/>
      <c r="N118" s="6"/>
    </row>
    <row r="119" spans="1:14" x14ac:dyDescent="0.2">
      <c r="A119" s="3" t="s">
        <v>33</v>
      </c>
      <c r="B119" s="1">
        <v>4.1183040000000002</v>
      </c>
      <c r="C119" s="11">
        <f t="shared" ref="C119:C129" si="20">AVERAGE(C63,C35,C91)</f>
        <v>5.1716623333333329</v>
      </c>
      <c r="D119" s="11"/>
      <c r="E119" s="11"/>
      <c r="F119" s="6"/>
      <c r="G119" s="11">
        <f t="shared" si="19"/>
        <v>1.0533583333333327</v>
      </c>
      <c r="H119" s="11"/>
      <c r="I119" s="11"/>
      <c r="J119" s="6"/>
      <c r="K119" s="10">
        <f>G119/B119</f>
        <v>0.25577478819760091</v>
      </c>
      <c r="L119" s="10"/>
      <c r="M119" s="10"/>
      <c r="N119" s="6"/>
    </row>
    <row r="120" spans="1:14" x14ac:dyDescent="0.2">
      <c r="A120" s="3" t="s">
        <v>34</v>
      </c>
      <c r="B120" s="1">
        <v>2</v>
      </c>
      <c r="C120" s="11">
        <f t="shared" si="20"/>
        <v>4</v>
      </c>
      <c r="D120" s="11"/>
      <c r="E120" s="11"/>
      <c r="F120" s="6"/>
      <c r="G120" s="11">
        <f t="shared" si="19"/>
        <v>2</v>
      </c>
      <c r="H120" s="11"/>
      <c r="I120" s="11"/>
      <c r="J120" s="6"/>
      <c r="K120" s="10">
        <f>G120/B120</f>
        <v>1</v>
      </c>
      <c r="L120" s="10"/>
      <c r="M120" s="10"/>
      <c r="N120" s="6"/>
    </row>
    <row r="121" spans="1:14" x14ac:dyDescent="0.2">
      <c r="A121" s="3" t="s">
        <v>35</v>
      </c>
      <c r="B121" s="1">
        <v>2</v>
      </c>
      <c r="C121" s="11">
        <f t="shared" si="20"/>
        <v>4</v>
      </c>
      <c r="D121" s="11"/>
      <c r="E121" s="11"/>
      <c r="F121" s="6"/>
      <c r="G121" s="11">
        <f t="shared" si="19"/>
        <v>2</v>
      </c>
      <c r="H121" s="11"/>
      <c r="I121" s="11"/>
      <c r="J121" s="6"/>
      <c r="K121" s="10">
        <f>G121/B121</f>
        <v>1</v>
      </c>
      <c r="L121" s="10"/>
      <c r="M121" s="10"/>
      <c r="N121" s="6"/>
    </row>
    <row r="122" spans="1:14" x14ac:dyDescent="0.2">
      <c r="A122" s="3" t="s">
        <v>36</v>
      </c>
      <c r="B122" s="1">
        <v>0</v>
      </c>
      <c r="C122" s="11">
        <f t="shared" si="20"/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 t="s">
        <v>54</v>
      </c>
      <c r="L122" s="10"/>
      <c r="M122" s="10"/>
      <c r="N122" s="6"/>
    </row>
    <row r="123" spans="1:14" x14ac:dyDescent="0.2">
      <c r="A123" s="3" t="s">
        <v>37</v>
      </c>
      <c r="B123" s="1">
        <v>23</v>
      </c>
      <c r="C123" s="11">
        <f t="shared" si="20"/>
        <v>24.666666666666668</v>
      </c>
      <c r="D123" s="11"/>
      <c r="E123" s="11"/>
      <c r="F123" s="6"/>
      <c r="G123" s="11">
        <f t="shared" si="19"/>
        <v>1.6666666666666679</v>
      </c>
      <c r="H123" s="11"/>
      <c r="I123" s="11"/>
      <c r="J123" s="6"/>
      <c r="K123" s="10">
        <f t="shared" ref="K123:K129" si="21">G123/B123</f>
        <v>7.2463768115942087E-2</v>
      </c>
      <c r="L123" s="10"/>
      <c r="M123" s="10"/>
      <c r="N123" s="6"/>
    </row>
    <row r="124" spans="1:14" x14ac:dyDescent="0.2">
      <c r="A124" s="3" t="s">
        <v>38</v>
      </c>
      <c r="B124" s="1">
        <v>6.6195789999999999</v>
      </c>
      <c r="C124" s="11">
        <f t="shared" si="20"/>
        <v>6.4202806666666667</v>
      </c>
      <c r="D124" s="11"/>
      <c r="E124" s="11"/>
      <c r="F124" s="6"/>
      <c r="G124" s="11">
        <f t="shared" si="19"/>
        <v>-0.19929833333333313</v>
      </c>
      <c r="H124" s="11"/>
      <c r="I124" s="11"/>
      <c r="J124" s="6"/>
      <c r="K124" s="10">
        <f t="shared" si="21"/>
        <v>-3.0107403104235653E-2</v>
      </c>
      <c r="L124" s="10"/>
      <c r="M124" s="10"/>
      <c r="N124" s="6"/>
    </row>
    <row r="125" spans="1:14" x14ac:dyDescent="0.2">
      <c r="A125" s="3" t="s">
        <v>39</v>
      </c>
      <c r="B125" s="1">
        <v>7</v>
      </c>
      <c r="C125" s="11">
        <f t="shared" si="20"/>
        <v>6.666666666666667</v>
      </c>
      <c r="D125" s="11"/>
      <c r="E125" s="11"/>
      <c r="F125" s="6"/>
      <c r="G125" s="11">
        <f t="shared" si="19"/>
        <v>-0.33333333333333304</v>
      </c>
      <c r="H125" s="11"/>
      <c r="I125" s="11"/>
      <c r="J125" s="6"/>
      <c r="K125" s="10">
        <f t="shared" si="21"/>
        <v>-4.7619047619047575E-2</v>
      </c>
      <c r="L125" s="10"/>
      <c r="M125" s="10"/>
      <c r="N125" s="6"/>
    </row>
    <row r="126" spans="1:14" x14ac:dyDescent="0.2">
      <c r="A126" s="3" t="s">
        <v>40</v>
      </c>
      <c r="B126" s="1">
        <v>8</v>
      </c>
      <c r="C126" s="11">
        <f t="shared" si="20"/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1"/>
        <v>0</v>
      </c>
      <c r="L126" s="10"/>
      <c r="M126" s="10"/>
      <c r="N126" s="6"/>
    </row>
    <row r="127" spans="1:14" x14ac:dyDescent="0.2">
      <c r="A127" s="3" t="s">
        <v>41</v>
      </c>
      <c r="B127" s="1">
        <v>3</v>
      </c>
      <c r="C127" s="11">
        <f t="shared" si="20"/>
        <v>3.3333333333333335</v>
      </c>
      <c r="D127" s="11"/>
      <c r="E127" s="11"/>
      <c r="F127" s="6"/>
      <c r="G127" s="11">
        <f t="shared" si="19"/>
        <v>0.33333333333333348</v>
      </c>
      <c r="H127" s="11"/>
      <c r="I127" s="11"/>
      <c r="J127" s="6"/>
      <c r="K127" s="10">
        <f t="shared" si="21"/>
        <v>0.11111111111111116</v>
      </c>
      <c r="L127" s="10"/>
      <c r="M127" s="10"/>
      <c r="N127" s="6"/>
    </row>
    <row r="128" spans="1:14" x14ac:dyDescent="0.2">
      <c r="A128" s="3" t="s">
        <v>76</v>
      </c>
      <c r="B128" s="1">
        <v>471</v>
      </c>
      <c r="C128" s="11">
        <f t="shared" si="20"/>
        <v>224</v>
      </c>
      <c r="D128" s="11"/>
      <c r="E128" s="11"/>
      <c r="F128" s="6"/>
      <c r="G128" s="11">
        <f t="shared" si="19"/>
        <v>-247</v>
      </c>
      <c r="H128" s="11"/>
      <c r="I128" s="11"/>
      <c r="J128" s="6"/>
      <c r="K128" s="10">
        <f t="shared" si="21"/>
        <v>-0.52441613588110403</v>
      </c>
      <c r="L128" s="10"/>
      <c r="M128" s="10"/>
      <c r="N128" s="6"/>
    </row>
    <row r="129" spans="1:14" x14ac:dyDescent="0.2">
      <c r="A129" s="3" t="s">
        <v>42</v>
      </c>
      <c r="B129" s="5">
        <v>0.15019133000000001</v>
      </c>
      <c r="C129" s="13">
        <f t="shared" si="20"/>
        <v>7.1428570000000011E-2</v>
      </c>
      <c r="D129" s="11"/>
      <c r="E129" s="11"/>
      <c r="F129" s="6"/>
      <c r="G129" s="11">
        <f t="shared" si="19"/>
        <v>-7.8762760000000001E-2</v>
      </c>
      <c r="H129" s="11"/>
      <c r="I129" s="11"/>
      <c r="J129" s="6"/>
      <c r="K129" s="10">
        <f t="shared" si="21"/>
        <v>-0.52441615637866712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1" t="s">
        <v>75</v>
      </c>
      <c r="C131" s="11"/>
      <c r="D131" s="11"/>
      <c r="E131" s="11"/>
      <c r="F131" s="6"/>
      <c r="G131" s="11" t="s">
        <v>71</v>
      </c>
      <c r="H131" s="11"/>
      <c r="I131" s="11"/>
      <c r="J131" s="6"/>
      <c r="K131" s="11" t="s">
        <v>71</v>
      </c>
      <c r="L131" s="11"/>
      <c r="M131" s="11"/>
      <c r="N131" s="6"/>
    </row>
    <row r="132" spans="1:14" x14ac:dyDescent="0.2">
      <c r="A132" s="3" t="s">
        <v>43</v>
      </c>
      <c r="B132" s="1">
        <v>3.401786</v>
      </c>
      <c r="C132" s="11">
        <f>AVERAGE(C76,C48,C104)</f>
        <v>1.1753826666666667</v>
      </c>
      <c r="D132" s="11"/>
      <c r="E132" s="11"/>
      <c r="F132" s="6"/>
      <c r="G132" s="11">
        <f t="shared" ref="G132:G143" si="22">C132-B132</f>
        <v>-2.2264033333333333</v>
      </c>
      <c r="H132" s="11"/>
      <c r="I132" s="11"/>
      <c r="J132" s="6"/>
      <c r="K132" s="10">
        <f t="shared" ref="K132:K143" si="23">G132/B132</f>
        <v>-0.65448071493425319</v>
      </c>
      <c r="L132" s="10"/>
      <c r="M132" s="10"/>
      <c r="N132" s="6"/>
    </row>
    <row r="133" spans="1:14" x14ac:dyDescent="0.2">
      <c r="A133" s="3" t="s">
        <v>44</v>
      </c>
      <c r="B133" s="1">
        <v>1.770408</v>
      </c>
      <c r="C133" s="11">
        <f t="shared" ref="C133:C143" si="24">AVERAGE(C77,C49,C105)</f>
        <v>0.5994896666666667</v>
      </c>
      <c r="D133" s="11"/>
      <c r="E133" s="11"/>
      <c r="F133" s="6"/>
      <c r="G133" s="11">
        <f t="shared" si="22"/>
        <v>-1.1709183333333333</v>
      </c>
      <c r="H133" s="11"/>
      <c r="I133" s="11"/>
      <c r="J133" s="6"/>
      <c r="K133" s="10">
        <f t="shared" si="23"/>
        <v>-0.6613833270824202</v>
      </c>
      <c r="L133" s="10"/>
      <c r="M133" s="10"/>
      <c r="N133" s="6"/>
    </row>
    <row r="134" spans="1:14" x14ac:dyDescent="0.2">
      <c r="A134" s="3" t="s">
        <v>45</v>
      </c>
      <c r="B134" s="1">
        <v>2</v>
      </c>
      <c r="C134" s="11">
        <f t="shared" si="24"/>
        <v>0.66666666666666663</v>
      </c>
      <c r="D134" s="11"/>
      <c r="E134" s="11"/>
      <c r="F134" s="6"/>
      <c r="G134" s="11">
        <f t="shared" si="22"/>
        <v>-1.3333333333333335</v>
      </c>
      <c r="H134" s="11"/>
      <c r="I134" s="11"/>
      <c r="J134" s="6"/>
      <c r="K134" s="10">
        <f t="shared" si="23"/>
        <v>-0.66666666666666674</v>
      </c>
      <c r="L134" s="10"/>
      <c r="M134" s="10"/>
      <c r="N134" s="6"/>
    </row>
    <row r="135" spans="1:14" x14ac:dyDescent="0.2">
      <c r="A135" s="3" t="s">
        <v>46</v>
      </c>
      <c r="B135" s="1">
        <v>-2</v>
      </c>
      <c r="C135" s="11">
        <f t="shared" si="24"/>
        <v>-0.66666666666666663</v>
      </c>
      <c r="D135" s="11"/>
      <c r="E135" s="11"/>
      <c r="F135" s="6"/>
      <c r="G135" s="11">
        <f t="shared" si="22"/>
        <v>1.3333333333333335</v>
      </c>
      <c r="H135" s="11"/>
      <c r="I135" s="11"/>
      <c r="J135" s="6"/>
      <c r="K135" s="10">
        <f t="shared" si="23"/>
        <v>-0.66666666666666674</v>
      </c>
      <c r="L135" s="10"/>
      <c r="M135" s="10"/>
      <c r="N135" s="6"/>
    </row>
    <row r="136" spans="1:14" x14ac:dyDescent="0.2">
      <c r="A136" s="3" t="s">
        <v>47</v>
      </c>
      <c r="B136" s="1">
        <v>-3</v>
      </c>
      <c r="C136" s="11">
        <f t="shared" si="24"/>
        <v>-1.3333333333333333</v>
      </c>
      <c r="D136" s="11"/>
      <c r="E136" s="11"/>
      <c r="F136" s="6"/>
      <c r="G136" s="11">
        <f t="shared" si="22"/>
        <v>1.6666666666666667</v>
      </c>
      <c r="H136" s="11"/>
      <c r="I136" s="11"/>
      <c r="J136" s="6"/>
      <c r="K136" s="10">
        <f t="shared" si="23"/>
        <v>-0.55555555555555558</v>
      </c>
      <c r="L136" s="10"/>
      <c r="M136" s="10"/>
      <c r="N136" s="6"/>
    </row>
    <row r="137" spans="1:14" x14ac:dyDescent="0.2">
      <c r="A137" s="3" t="s">
        <v>48</v>
      </c>
      <c r="B137" s="1">
        <v>2</v>
      </c>
      <c r="C137" s="11">
        <f t="shared" si="24"/>
        <v>4.333333333333333</v>
      </c>
      <c r="D137" s="11"/>
      <c r="E137" s="11"/>
      <c r="F137" s="6"/>
      <c r="G137" s="11">
        <f t="shared" si="22"/>
        <v>2.333333333333333</v>
      </c>
      <c r="H137" s="11"/>
      <c r="I137" s="11"/>
      <c r="J137" s="6"/>
      <c r="K137" s="10">
        <f t="shared" si="23"/>
        <v>1.1666666666666665</v>
      </c>
      <c r="L137" s="10"/>
      <c r="M137" s="10"/>
      <c r="N137" s="6"/>
    </row>
    <row r="138" spans="1:14" x14ac:dyDescent="0.2">
      <c r="A138" s="3" t="s">
        <v>49</v>
      </c>
      <c r="B138" s="1">
        <v>6.7904970000000002</v>
      </c>
      <c r="C138" s="11">
        <f t="shared" si="24"/>
        <v>7.5915180000000007</v>
      </c>
      <c r="D138" s="11"/>
      <c r="E138" s="11"/>
      <c r="F138" s="6"/>
      <c r="G138" s="11">
        <f t="shared" si="22"/>
        <v>0.80102100000000043</v>
      </c>
      <c r="H138" s="11"/>
      <c r="I138" s="11"/>
      <c r="J138" s="6"/>
      <c r="K138" s="10">
        <f t="shared" si="23"/>
        <v>0.11796205785820985</v>
      </c>
      <c r="L138" s="10"/>
      <c r="M138" s="10"/>
      <c r="N138" s="6"/>
    </row>
    <row r="139" spans="1:14" x14ac:dyDescent="0.2">
      <c r="A139" s="3" t="s">
        <v>50</v>
      </c>
      <c r="B139" s="1">
        <v>7</v>
      </c>
      <c r="C139" s="11">
        <f t="shared" si="24"/>
        <v>7.666666666666667</v>
      </c>
      <c r="D139" s="11"/>
      <c r="E139" s="11"/>
      <c r="F139" s="6"/>
      <c r="G139" s="11">
        <f t="shared" si="22"/>
        <v>0.66666666666666696</v>
      </c>
      <c r="H139" s="11"/>
      <c r="I139" s="11"/>
      <c r="J139" s="6"/>
      <c r="K139" s="10">
        <f t="shared" si="23"/>
        <v>9.5238095238095274E-2</v>
      </c>
      <c r="L139" s="10"/>
      <c r="M139" s="10"/>
      <c r="N139" s="6"/>
    </row>
    <row r="140" spans="1:14" x14ac:dyDescent="0.2">
      <c r="A140" s="3" t="s">
        <v>51</v>
      </c>
      <c r="B140" s="1">
        <v>8</v>
      </c>
      <c r="C140" s="11">
        <f t="shared" si="24"/>
        <v>8</v>
      </c>
      <c r="D140" s="11"/>
      <c r="E140" s="11"/>
      <c r="F140" s="6"/>
      <c r="G140" s="11">
        <f t="shared" si="22"/>
        <v>0</v>
      </c>
      <c r="H140" s="11"/>
      <c r="I140" s="11"/>
      <c r="J140" s="6"/>
      <c r="K140" s="10">
        <f t="shared" si="23"/>
        <v>0</v>
      </c>
      <c r="L140" s="10"/>
      <c r="M140" s="10"/>
      <c r="N140" s="6"/>
    </row>
    <row r="141" spans="1:14" x14ac:dyDescent="0.2">
      <c r="A141" s="3" t="s">
        <v>52</v>
      </c>
      <c r="B141" s="1">
        <v>5</v>
      </c>
      <c r="C141" s="11">
        <f t="shared" si="24"/>
        <v>6</v>
      </c>
      <c r="D141" s="11"/>
      <c r="E141" s="11"/>
      <c r="F141" s="6"/>
      <c r="G141" s="11">
        <f t="shared" si="22"/>
        <v>1</v>
      </c>
      <c r="H141" s="11"/>
      <c r="I141" s="11"/>
      <c r="J141" s="6"/>
      <c r="K141" s="10">
        <f t="shared" si="23"/>
        <v>0.2</v>
      </c>
      <c r="L141" s="10"/>
      <c r="M141" s="10"/>
      <c r="N141" s="6"/>
    </row>
    <row r="142" spans="1:14" x14ac:dyDescent="0.2">
      <c r="A142" s="3" t="s">
        <v>77</v>
      </c>
      <c r="B142" s="1">
        <v>61</v>
      </c>
      <c r="C142" s="11">
        <f>AVERAGE(C86,C58,C114)</f>
        <v>2096.3333333333335</v>
      </c>
      <c r="D142" s="11"/>
      <c r="E142" s="11"/>
      <c r="F142" s="6"/>
      <c r="G142" s="11">
        <f t="shared" si="22"/>
        <v>2035.3333333333335</v>
      </c>
      <c r="H142" s="11"/>
      <c r="I142" s="11"/>
      <c r="J142" s="6"/>
      <c r="K142" s="10">
        <f t="shared" si="23"/>
        <v>33.36612021857924</v>
      </c>
      <c r="L142" s="10"/>
      <c r="M142" s="10"/>
      <c r="N142" s="6"/>
    </row>
    <row r="143" spans="1:14" x14ac:dyDescent="0.2">
      <c r="A143" s="3" t="s">
        <v>53</v>
      </c>
      <c r="B143" s="5">
        <v>1.9451530000000002E-2</v>
      </c>
      <c r="C143" s="13">
        <f t="shared" si="24"/>
        <v>0.66847363999999987</v>
      </c>
      <c r="D143" s="11"/>
      <c r="E143" s="11"/>
      <c r="F143" s="6"/>
      <c r="G143" s="11">
        <f t="shared" si="22"/>
        <v>0.64902210999999987</v>
      </c>
      <c r="H143" s="11"/>
      <c r="I143" s="11"/>
      <c r="J143" s="6"/>
      <c r="K143" s="10">
        <f t="shared" si="23"/>
        <v>33.366121328245121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1" t="s">
        <v>66</v>
      </c>
      <c r="C145" s="11"/>
      <c r="D145" s="11"/>
      <c r="E145" s="11"/>
      <c r="F145" s="6"/>
      <c r="G145" s="11">
        <v>0</v>
      </c>
      <c r="H145" s="11"/>
      <c r="I145" s="11"/>
      <c r="J145" s="6"/>
      <c r="K145" s="15">
        <v>0</v>
      </c>
      <c r="L145" s="15"/>
      <c r="M145" s="15"/>
      <c r="N145" s="6"/>
    </row>
    <row r="146" spans="1:14" x14ac:dyDescent="0.2">
      <c r="A146" s="3" t="s">
        <v>57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58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59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60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61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62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63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64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65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5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26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68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C127:E127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2026-04-28T15:09:57Z</dcterms:modified>
</cp:coreProperties>
</file>
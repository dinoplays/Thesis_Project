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Biswas/Desktop/Documents/University/Year 5/Semester 1/AMME4112/Code/"/>
    </mc:Choice>
  </mc:AlternateContent>
  <xr:revisionPtr revIDLastSave="0" documentId="13_ncr:1_{510008D3-67F3-324A-83A8-76372364EB38}" xr6:coauthVersionLast="47" xr6:coauthVersionMax="47" xr10:uidLastSave="{00000000-0000-0000-0000-000000000000}"/>
  <bookViews>
    <workbookView xWindow="0" yWindow="660" windowWidth="30240" windowHeight="17760" xr2:uid="{49DEC02E-5D37-064F-A7E8-1E1DC7B5FE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9" i="1" l="1"/>
  <c r="B68" i="1"/>
  <c r="B67" i="1"/>
  <c r="B66" i="1"/>
  <c r="B65" i="1"/>
  <c r="I10" i="1"/>
  <c r="M10" i="1" s="1"/>
  <c r="I9" i="1"/>
  <c r="M9" i="1" s="1"/>
  <c r="I8" i="1"/>
  <c r="M8" i="1" s="1"/>
  <c r="I5" i="1"/>
  <c r="M5" i="1" s="1"/>
  <c r="I7" i="1"/>
  <c r="M7" i="1" s="1"/>
  <c r="M22" i="1"/>
  <c r="M3" i="1"/>
  <c r="I3" i="1"/>
  <c r="I4" i="1"/>
  <c r="M4" i="1" s="1"/>
  <c r="I12" i="1"/>
  <c r="M12" i="1" s="1"/>
  <c r="I13" i="1"/>
  <c r="M13" i="1" s="1"/>
  <c r="I14" i="1"/>
  <c r="M14" i="1" s="1"/>
  <c r="I15" i="1"/>
  <c r="M15" i="1" s="1"/>
  <c r="I16" i="1"/>
  <c r="M16" i="1" s="1"/>
  <c r="I17" i="1"/>
  <c r="M17" i="1" s="1"/>
  <c r="I18" i="1"/>
  <c r="M18" i="1" s="1"/>
  <c r="I19" i="1"/>
  <c r="M19" i="1" s="1"/>
  <c r="I20" i="1"/>
  <c r="M20" i="1" s="1"/>
  <c r="I21" i="1"/>
  <c r="M21" i="1" s="1"/>
  <c r="I22" i="1"/>
  <c r="I23" i="1"/>
  <c r="M23" i="1" s="1"/>
  <c r="I24" i="1"/>
  <c r="M24" i="1" s="1"/>
  <c r="I25" i="1"/>
  <c r="M25" i="1" s="1"/>
  <c r="I26" i="1"/>
  <c r="M26" i="1" s="1"/>
  <c r="I27" i="1"/>
  <c r="M27" i="1" s="1"/>
  <c r="I28" i="1"/>
  <c r="M28" i="1" s="1"/>
  <c r="I29" i="1"/>
  <c r="M29" i="1" s="1"/>
  <c r="I30" i="1"/>
  <c r="M30" i="1" s="1"/>
  <c r="I31" i="1"/>
  <c r="M31" i="1" s="1"/>
  <c r="K40" i="1"/>
  <c r="K41" i="1"/>
  <c r="K54" i="1"/>
  <c r="K53" i="1"/>
  <c r="K49" i="1"/>
  <c r="K48" i="1"/>
  <c r="H13" i="1"/>
  <c r="L13" i="1" s="1"/>
  <c r="H14" i="1"/>
  <c r="H15" i="1"/>
  <c r="H16" i="1"/>
  <c r="L16" i="1" s="1"/>
  <c r="H17" i="1"/>
  <c r="L17" i="1" s="1"/>
  <c r="H18" i="1"/>
  <c r="L18" i="1" s="1"/>
  <c r="H19" i="1"/>
  <c r="L19" i="1" s="1"/>
  <c r="H20" i="1"/>
  <c r="L20" i="1" s="1"/>
  <c r="H21" i="1"/>
  <c r="L21" i="1" s="1"/>
  <c r="H22" i="1"/>
  <c r="L22" i="1" s="1"/>
  <c r="H23" i="1"/>
  <c r="L23" i="1" s="1"/>
  <c r="H24" i="1"/>
  <c r="L24" i="1" s="1"/>
  <c r="H25" i="1"/>
  <c r="L25" i="1" s="1"/>
  <c r="H26" i="1"/>
  <c r="L26" i="1" s="1"/>
  <c r="H27" i="1"/>
  <c r="L27" i="1" s="1"/>
  <c r="H28" i="1"/>
  <c r="L28" i="1" s="1"/>
  <c r="H29" i="1"/>
  <c r="L29" i="1" s="1"/>
  <c r="H30" i="1"/>
  <c r="L30" i="1" s="1"/>
  <c r="H31" i="1"/>
  <c r="L31" i="1" s="1"/>
  <c r="H12" i="1"/>
  <c r="L12" i="1" s="1"/>
  <c r="H8" i="1"/>
  <c r="H9" i="1"/>
  <c r="H10" i="1"/>
  <c r="L10" i="1" s="1"/>
  <c r="H7" i="1"/>
  <c r="L7" i="1" s="1"/>
  <c r="H4" i="1"/>
  <c r="L4" i="1" s="1"/>
  <c r="H5" i="1"/>
  <c r="L5" i="1" s="1"/>
  <c r="L3" i="1"/>
  <c r="D68" i="1"/>
  <c r="E67" i="1"/>
  <c r="B64" i="1"/>
  <c r="G57" i="1"/>
  <c r="K57" i="1" s="1"/>
  <c r="G56" i="1"/>
  <c r="K56" i="1" s="1"/>
  <c r="G55" i="1"/>
  <c r="K55" i="1" s="1"/>
  <c r="G54" i="1"/>
  <c r="G53" i="1"/>
  <c r="G52" i="1"/>
  <c r="K52" i="1" s="1"/>
  <c r="G51" i="1"/>
  <c r="K51" i="1" s="1"/>
  <c r="G50" i="1"/>
  <c r="K50" i="1" s="1"/>
  <c r="G49" i="1"/>
  <c r="G48" i="1"/>
  <c r="G47" i="1"/>
  <c r="K47" i="1" s="1"/>
  <c r="G34" i="1"/>
  <c r="K34" i="1" s="1"/>
  <c r="G35" i="1"/>
  <c r="G36" i="1"/>
  <c r="G37" i="1"/>
  <c r="K37" i="1" s="1"/>
  <c r="G38" i="1"/>
  <c r="K38" i="1" s="1"/>
  <c r="G39" i="1"/>
  <c r="K39" i="1" s="1"/>
  <c r="G40" i="1"/>
  <c r="G41" i="1"/>
  <c r="G42" i="1"/>
  <c r="K42" i="1" s="1"/>
  <c r="G43" i="1"/>
  <c r="K43" i="1" s="1"/>
  <c r="G44" i="1"/>
  <c r="K44" i="1" s="1"/>
  <c r="K61" i="1"/>
  <c r="K62" i="1"/>
  <c r="K63" i="1"/>
  <c r="K60" i="1"/>
  <c r="G46" i="1"/>
  <c r="K46" i="1" s="1"/>
  <c r="G33" i="1"/>
  <c r="K33" i="1" s="1"/>
  <c r="G4" i="1"/>
  <c r="K4" i="1" s="1"/>
  <c r="G5" i="1"/>
  <c r="K5" i="1" s="1"/>
  <c r="G7" i="1"/>
  <c r="K7" i="1" s="1"/>
  <c r="G8" i="1"/>
  <c r="K8" i="1" s="1"/>
  <c r="L8" i="1"/>
  <c r="G9" i="1"/>
  <c r="K9" i="1" s="1"/>
  <c r="L9" i="1"/>
  <c r="G10" i="1"/>
  <c r="K10" i="1" s="1"/>
  <c r="G12" i="1"/>
  <c r="K12" i="1" s="1"/>
  <c r="G13" i="1"/>
  <c r="K13" i="1" s="1"/>
  <c r="G14" i="1"/>
  <c r="K14" i="1" s="1"/>
  <c r="L14" i="1"/>
  <c r="G15" i="1"/>
  <c r="K15" i="1" s="1"/>
  <c r="L15" i="1"/>
  <c r="G16" i="1"/>
  <c r="K16" i="1" s="1"/>
  <c r="G17" i="1"/>
  <c r="K17" i="1" s="1"/>
  <c r="G18" i="1"/>
  <c r="K18" i="1" s="1"/>
  <c r="G19" i="1"/>
  <c r="K19" i="1" s="1"/>
  <c r="G20" i="1"/>
  <c r="K20" i="1" s="1"/>
  <c r="G21" i="1"/>
  <c r="K21" i="1" s="1"/>
  <c r="G22" i="1"/>
  <c r="K22" i="1" s="1"/>
  <c r="G23" i="1"/>
  <c r="K23" i="1" s="1"/>
  <c r="G24" i="1"/>
  <c r="K24" i="1" s="1"/>
  <c r="G25" i="1"/>
  <c r="K25" i="1" s="1"/>
  <c r="G26" i="1"/>
  <c r="K26" i="1" s="1"/>
  <c r="G27" i="1"/>
  <c r="K27" i="1" s="1"/>
  <c r="G28" i="1"/>
  <c r="K28" i="1" s="1"/>
  <c r="G29" i="1"/>
  <c r="K29" i="1" s="1"/>
  <c r="G30" i="1"/>
  <c r="K30" i="1" s="1"/>
  <c r="G31" i="1"/>
  <c r="K31" i="1" s="1"/>
  <c r="K3" i="1"/>
  <c r="E65" i="1" l="1"/>
  <c r="E68" i="1"/>
  <c r="I68" i="1" s="1"/>
  <c r="C68" i="1"/>
  <c r="H68" i="1"/>
  <c r="I67" i="1"/>
  <c r="M67" i="1" s="1"/>
  <c r="K64" i="1"/>
  <c r="K66" i="1"/>
  <c r="E69" i="1" l="1"/>
  <c r="I69" i="1" s="1"/>
  <c r="M69" i="1" s="1"/>
  <c r="I65" i="1"/>
  <c r="M65" i="1" s="1"/>
  <c r="L68" i="1"/>
  <c r="G68" i="1"/>
  <c r="K68" i="1" s="1"/>
</calcChain>
</file>

<file path=xl/sharedStrings.xml><?xml version="1.0" encoding="utf-8"?>
<sst xmlns="http://schemas.openxmlformats.org/spreadsheetml/2006/main" count="79" uniqueCount="72">
  <si>
    <t>FPGA Implementation</t>
  </si>
  <si>
    <t>Standard</t>
  </si>
  <si>
    <t>Bit Manipulation Power</t>
  </si>
  <si>
    <t>Bit Manipulation Fast</t>
  </si>
  <si>
    <t>Metric</t>
  </si>
  <si>
    <t>Logic Utilisation (ALM's)</t>
  </si>
  <si>
    <t>Total Registers</t>
  </si>
  <si>
    <t>Total DSP Blocks</t>
  </si>
  <si>
    <t>Worst Case Setup Slack (ns)</t>
  </si>
  <si>
    <t>Theoretical Fmax (MHz)</t>
  </si>
  <si>
    <t>Programmed Clock Frequency (MHz)</t>
  </si>
  <si>
    <t>Total Block Memory (Bits)</t>
  </si>
  <si>
    <t>Total Thermal Power Dissipation (mW)</t>
  </si>
  <si>
    <t>Core Dynamic Thermal Power Dissipation (mW)</t>
  </si>
  <si>
    <t>Core Static Thermal Power Dissipation (mW)</t>
  </si>
  <si>
    <t>I/O Thermal Power Dissipation (mW)</t>
  </si>
  <si>
    <t>Top Level Block Thermal Dynamic Power (mW)</t>
  </si>
  <si>
    <t>Top Level Total Thermal Power (mW)</t>
  </si>
  <si>
    <t>Low Pass Filter Total Thermal Power (mW)</t>
  </si>
  <si>
    <t>Low Pass Filter Block Thermal Dynamic Power (mW)</t>
  </si>
  <si>
    <t>EPI Compiler Total Thermal Power (mW)</t>
  </si>
  <si>
    <t>EPI Compiler Block Thermal Dynamic Power (mW)</t>
  </si>
  <si>
    <t>Shared Frame Storage Total Thermal Power (mW)</t>
  </si>
  <si>
    <t>Shared Frame Storage Block Thermal Dynamic Power (mW)</t>
  </si>
  <si>
    <t>Confidence Computer Total Thermal Power (mW)</t>
  </si>
  <si>
    <t>Confidence Computer Block Thermal Dynamic Power (mW)</t>
  </si>
  <si>
    <t>Disparity Estimator Block Thermal Dynamic Power (mW)</t>
  </si>
  <si>
    <t>Fused Aligned Output Total Thermal Power (mW)</t>
  </si>
  <si>
    <t>Fused Aligned Output Block Thermal Dynamic Power (mW)</t>
  </si>
  <si>
    <t>Altshift Taps Total Thermal Power (mW)</t>
  </si>
  <si>
    <t>Altshift Taps Block Thermal Dynamic Power (mW)</t>
  </si>
  <si>
    <t>Disparity Estimator Total Thermal Power (mW)</t>
  </si>
  <si>
    <t>Confidence MSE</t>
  </si>
  <si>
    <t>Confidence Mean Absolute Error</t>
  </si>
  <si>
    <t>Confidence Median Absolute Error</t>
  </si>
  <si>
    <t>Confidence Median Error (FPGA - Python)</t>
  </si>
  <si>
    <t>Confidence Minimum Error (FPGA - Python)</t>
  </si>
  <si>
    <t>Confidence Maximum Error (FPGA - Python)</t>
  </si>
  <si>
    <t>Confidence Mean Bit Correctness (Out Of 8)</t>
  </si>
  <si>
    <t>Confidence Median Bit Correctness (Out Of 8)</t>
  </si>
  <si>
    <t>Confidence Best Bit Correctness (Out Of 8)</t>
  </si>
  <si>
    <t>Confidence Worst Bit Correctness (Out Of 8)</t>
  </si>
  <si>
    <t>Confidence Exact Match Fraction</t>
  </si>
  <si>
    <t>Disparity MSE</t>
  </si>
  <si>
    <t>Disparity Mean Absolute Error</t>
  </si>
  <si>
    <t>Disparity Median Absolute Error</t>
  </si>
  <si>
    <t>Disparity Median Error (FPGA - Python)</t>
  </si>
  <si>
    <t>Disparity Minimum Error (FPGA - Python)</t>
  </si>
  <si>
    <t>Disparity Maximum Error (FPGA - Python)</t>
  </si>
  <si>
    <t>Disparity Mean Bit Correctness (Out Of 8)</t>
  </si>
  <si>
    <t>Disparity Median Bit Correctness (Out Of 8)</t>
  </si>
  <si>
    <t>Disparity Best Bit Correctness (Out Of 8)</t>
  </si>
  <si>
    <t>Disparity Worst Bit Correctness (Out Of 8)</t>
  </si>
  <si>
    <t>Disparity Exact Match Fraction</t>
  </si>
  <si>
    <t>inf</t>
  </si>
  <si>
    <t>Change From Standard</t>
  </si>
  <si>
    <t>% Change From Standard</t>
  </si>
  <si>
    <t>First Pixel Out</t>
  </si>
  <si>
    <t>Last Pixel Out</t>
  </si>
  <si>
    <t>First Pixel In</t>
  </si>
  <si>
    <t>Last Pixel In</t>
  </si>
  <si>
    <t>Input To Output Programmed Latency (Clock Cycles)</t>
  </si>
  <si>
    <t>Computation Programmed Latency (Clock Cycles)</t>
  </si>
  <si>
    <t>Input To Output Programmed Latency (ms)</t>
  </si>
  <si>
    <t>Computation Programmed Latency (us)</t>
  </si>
  <si>
    <t>Programmed Energy Per Frame (uJ)</t>
  </si>
  <si>
    <t>17x128x128</t>
  </si>
  <si>
    <t>Light Field Dimensions (Sub-Apertures, Length, Width)</t>
  </si>
  <si>
    <t>Max Throughput (FPS)</t>
  </si>
  <si>
    <t>Bit Manipulation Throttled</t>
  </si>
  <si>
    <t>Confidence Exact Match Pixels (Out Of 3136)</t>
  </si>
  <si>
    <t>Disparity Exact Match Pixels (Out Of 3136)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</si>
</sst>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D0D0D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9" fontId="0" fillId="0" borderId="0" xfId="1" applyFon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right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9" fontId="0" fillId="0" borderId="0" xfId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 vertical="center"/>
    </xf>
    <xf numFmtId="9" fontId="0" fillId="0" borderId="0" xfId="1" applyFont="1" applyFill="1" applyAlignment="1">
      <alignment horizontal="center"/>
    </xf>
    <xf numFmtId="0" fontId="0" fillId="0" borderId="0" xfId="0" applyFill="1" applyAlignment="1">
      <alignment horizontal="center"/>
    </xf>
    <xf numFmtId="0" fontId="3" fillId="0" borderId="0" xfId="0" applyFont="1" applyFill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085A3-2BCA-FA4F-9A9B-A0D6975F9A68}">
  <dimension ref="A1:N70"/>
  <sheetViews>
    <sheetView tabSelected="1" zoomScaleNormal="110" workbookViewId="0">
      <pane xSplit="1" ySplit="2" topLeftCell="B8" activePane="bottomRight" state="frozen"/>
      <selection pane="topRight" activeCell="B1" sqref="B1"/>
      <selection pane="bottomLeft" activeCell="A3" sqref="A3"/>
      <selection pane="bottomRight" activeCell="D17" sqref="D17"/>
    </sheetView>
  </sheetViews>
  <sheetFormatPr baseColWidth="10" defaultColWidth="15.83203125" defaultRowHeight="16" x14ac:dyDescent="0.2"/>
  <cols>
    <col min="1" max="1" width="50.83203125" style="3" customWidth="1"/>
    <col min="2" max="5" width="25.83203125" style="1" customWidth="1"/>
    <col min="7" max="9" width="25.83203125" style="1" customWidth="1"/>
    <col min="11" max="13" width="25.83203125" style="1" customWidth="1"/>
  </cols>
  <sheetData>
    <row r="1" spans="1:14" x14ac:dyDescent="0.2">
      <c r="A1" s="14" t="s">
        <v>4</v>
      </c>
      <c r="B1" s="14" t="s">
        <v>0</v>
      </c>
      <c r="C1" s="14"/>
      <c r="D1" s="14"/>
      <c r="E1" s="14"/>
      <c r="F1" s="6"/>
      <c r="G1" s="15" t="s">
        <v>55</v>
      </c>
      <c r="H1" s="15"/>
      <c r="I1" s="15"/>
      <c r="J1" s="6"/>
      <c r="K1" s="15" t="s">
        <v>56</v>
      </c>
      <c r="L1" s="15"/>
      <c r="M1" s="15"/>
      <c r="N1" s="6"/>
    </row>
    <row r="2" spans="1:14" x14ac:dyDescent="0.2">
      <c r="A2" s="14"/>
      <c r="B2" s="2" t="s">
        <v>1</v>
      </c>
      <c r="C2" s="2" t="s">
        <v>2</v>
      </c>
      <c r="D2" s="10" t="s">
        <v>69</v>
      </c>
      <c r="E2" s="2" t="s">
        <v>3</v>
      </c>
      <c r="F2" s="6"/>
      <c r="G2" s="2" t="s">
        <v>2</v>
      </c>
      <c r="H2" s="2" t="s">
        <v>69</v>
      </c>
      <c r="I2" s="2" t="s">
        <v>3</v>
      </c>
      <c r="J2" s="6"/>
      <c r="K2" s="2" t="s">
        <v>2</v>
      </c>
      <c r="L2" s="2" t="s">
        <v>69</v>
      </c>
      <c r="M2" s="2" t="s">
        <v>3</v>
      </c>
      <c r="N2" s="6"/>
    </row>
    <row r="3" spans="1:14" x14ac:dyDescent="0.2">
      <c r="A3" s="3" t="s">
        <v>10</v>
      </c>
      <c r="B3" s="15">
        <v>80</v>
      </c>
      <c r="C3" s="15"/>
      <c r="D3" s="15"/>
      <c r="E3" s="1">
        <v>200</v>
      </c>
      <c r="F3" s="6"/>
      <c r="G3" s="15">
        <v>0</v>
      </c>
      <c r="H3" s="15"/>
      <c r="I3" s="1">
        <f t="shared" ref="I3:I4" si="0">E3-B3</f>
        <v>120</v>
      </c>
      <c r="J3" s="6"/>
      <c r="K3" s="5">
        <f>G3/B3</f>
        <v>0</v>
      </c>
      <c r="L3" s="5">
        <f>H3/B3</f>
        <v>0</v>
      </c>
      <c r="M3" s="5">
        <f t="shared" ref="M3:M4" si="1">I3/B3</f>
        <v>1.5</v>
      </c>
      <c r="N3" s="6"/>
    </row>
    <row r="4" spans="1:14" x14ac:dyDescent="0.2">
      <c r="A4" s="3" t="s">
        <v>8</v>
      </c>
      <c r="B4" s="1">
        <v>1.2999999999999999E-2</v>
      </c>
      <c r="C4" s="1">
        <v>5.1779999999999999</v>
      </c>
      <c r="D4" s="10">
        <v>7.5590000000000002</v>
      </c>
      <c r="E4" s="2">
        <v>0.121</v>
      </c>
      <c r="F4" s="6"/>
      <c r="G4" s="1">
        <f>C4-B4</f>
        <v>5.165</v>
      </c>
      <c r="H4" s="1">
        <f t="shared" ref="H4:H5" si="2">C4-B4</f>
        <v>5.165</v>
      </c>
      <c r="I4" s="1">
        <f t="shared" si="0"/>
        <v>0.108</v>
      </c>
      <c r="J4" s="6"/>
      <c r="K4" s="5">
        <f>G4/B4</f>
        <v>397.30769230769232</v>
      </c>
      <c r="L4" s="5">
        <f>H4/B4</f>
        <v>397.30769230769232</v>
      </c>
      <c r="M4" s="5">
        <f t="shared" si="1"/>
        <v>8.3076923076923084</v>
      </c>
      <c r="N4" s="6"/>
    </row>
    <row r="5" spans="1:14" x14ac:dyDescent="0.2">
      <c r="A5" s="3" t="s">
        <v>9</v>
      </c>
      <c r="B5" s="1">
        <v>80.09</v>
      </c>
      <c r="C5" s="1">
        <v>136.59</v>
      </c>
      <c r="D5" s="14">
        <v>202.43</v>
      </c>
      <c r="E5" s="14"/>
      <c r="F5" s="6"/>
      <c r="G5" s="1">
        <f>C5-B5</f>
        <v>56.5</v>
      </c>
      <c r="H5" s="1">
        <f t="shared" si="2"/>
        <v>56.5</v>
      </c>
      <c r="I5" s="1">
        <f>D5-B5</f>
        <v>122.34</v>
      </c>
      <c r="J5" s="6"/>
      <c r="K5" s="5">
        <f>G5/B5</f>
        <v>0.70545636159320757</v>
      </c>
      <c r="L5" s="5">
        <f>H5/B5</f>
        <v>0.70545636159320757</v>
      </c>
      <c r="M5" s="5">
        <f>I5/B5</f>
        <v>1.5275315270320888</v>
      </c>
      <c r="N5" s="6"/>
    </row>
    <row r="6" spans="1:14" x14ac:dyDescent="0.2">
      <c r="A6" s="7"/>
      <c r="B6" s="8"/>
      <c r="C6" s="8"/>
      <c r="D6" s="12"/>
      <c r="E6" s="9"/>
      <c r="F6" s="6"/>
      <c r="G6" s="8"/>
      <c r="H6" s="8"/>
      <c r="I6" s="8"/>
      <c r="J6" s="6"/>
      <c r="K6" s="8"/>
      <c r="L6" s="8"/>
      <c r="M6" s="8"/>
      <c r="N6" s="6"/>
    </row>
    <row r="7" spans="1:14" x14ac:dyDescent="0.2">
      <c r="A7" s="4" t="s">
        <v>5</v>
      </c>
      <c r="B7" s="1">
        <v>9823</v>
      </c>
      <c r="C7" s="1">
        <v>9776</v>
      </c>
      <c r="D7" s="14">
        <v>10129</v>
      </c>
      <c r="E7" s="14"/>
      <c r="F7" s="6"/>
      <c r="G7" s="1">
        <f>C7-B7</f>
        <v>-47</v>
      </c>
      <c r="H7" s="1">
        <f>C7-B7</f>
        <v>-47</v>
      </c>
      <c r="I7" s="1">
        <f>D7-B7</f>
        <v>306</v>
      </c>
      <c r="J7" s="6"/>
      <c r="K7" s="5">
        <f>G7/B7</f>
        <v>-4.7846889952153108E-3</v>
      </c>
      <c r="L7" s="5">
        <f>H7/B7</f>
        <v>-4.7846889952153108E-3</v>
      </c>
      <c r="M7" s="5">
        <f t="shared" ref="M7:M9" si="3">I7/B7</f>
        <v>3.115137941565713E-2</v>
      </c>
      <c r="N7" s="6"/>
    </row>
    <row r="8" spans="1:14" x14ac:dyDescent="0.2">
      <c r="A8" s="3" t="s">
        <v>6</v>
      </c>
      <c r="B8" s="1">
        <v>23583</v>
      </c>
      <c r="C8" s="1">
        <v>24289</v>
      </c>
      <c r="D8" s="14">
        <v>27731</v>
      </c>
      <c r="E8" s="14"/>
      <c r="F8" s="6"/>
      <c r="G8" s="1">
        <f>C8-B8</f>
        <v>706</v>
      </c>
      <c r="H8" s="1">
        <f t="shared" ref="H8:H10" si="4">C8-B8</f>
        <v>706</v>
      </c>
      <c r="I8" s="1">
        <f>D8-B8</f>
        <v>4148</v>
      </c>
      <c r="J8" s="6"/>
      <c r="K8" s="5">
        <f>G8/B8</f>
        <v>2.9936818894966712E-2</v>
      </c>
      <c r="L8" s="5">
        <f>H8/B8</f>
        <v>2.9936818894966712E-2</v>
      </c>
      <c r="M8" s="5">
        <f t="shared" si="3"/>
        <v>0.17588941186447865</v>
      </c>
      <c r="N8" s="6"/>
    </row>
    <row r="9" spans="1:14" x14ac:dyDescent="0.2">
      <c r="A9" s="3" t="s">
        <v>11</v>
      </c>
      <c r="B9" s="1">
        <v>808840</v>
      </c>
      <c r="C9" s="1">
        <v>808736</v>
      </c>
      <c r="D9" s="14">
        <v>808736</v>
      </c>
      <c r="E9" s="14"/>
      <c r="F9" s="6"/>
      <c r="G9" s="1">
        <f>C9-B9</f>
        <v>-104</v>
      </c>
      <c r="H9" s="1">
        <f t="shared" si="4"/>
        <v>-104</v>
      </c>
      <c r="I9" s="1">
        <f>D9-B9</f>
        <v>-104</v>
      </c>
      <c r="J9" s="6"/>
      <c r="K9" s="5">
        <f>G9/B9</f>
        <v>-1.2857919984174868E-4</v>
      </c>
      <c r="L9" s="5">
        <f>H9/B9</f>
        <v>-1.2857919984174868E-4</v>
      </c>
      <c r="M9" s="5">
        <f t="shared" si="3"/>
        <v>-1.2857919984174868E-4</v>
      </c>
      <c r="N9" s="6"/>
    </row>
    <row r="10" spans="1:14" x14ac:dyDescent="0.2">
      <c r="A10" s="3" t="s">
        <v>7</v>
      </c>
      <c r="B10" s="2">
        <v>12</v>
      </c>
      <c r="C10" s="2">
        <v>12</v>
      </c>
      <c r="D10" s="14">
        <v>12</v>
      </c>
      <c r="E10" s="14"/>
      <c r="F10" s="6"/>
      <c r="G10" s="1">
        <f>C10-B10</f>
        <v>0</v>
      </c>
      <c r="H10" s="1">
        <f t="shared" si="4"/>
        <v>0</v>
      </c>
      <c r="I10" s="1">
        <f>D10-B10</f>
        <v>0</v>
      </c>
      <c r="J10" s="6"/>
      <c r="K10" s="5">
        <f>G10/B10</f>
        <v>0</v>
      </c>
      <c r="L10" s="5">
        <f>H10/B10</f>
        <v>0</v>
      </c>
      <c r="M10" s="5">
        <f>I10/B10</f>
        <v>0</v>
      </c>
      <c r="N10" s="6"/>
    </row>
    <row r="11" spans="1:14" x14ac:dyDescent="0.2">
      <c r="A11" s="7"/>
      <c r="B11" s="8"/>
      <c r="C11" s="8"/>
      <c r="D11" s="12"/>
      <c r="E11" s="8"/>
      <c r="F11" s="6"/>
      <c r="G11" s="8"/>
      <c r="H11" s="8"/>
      <c r="I11" s="8"/>
      <c r="J11" s="6"/>
      <c r="K11" s="8"/>
      <c r="L11" s="8"/>
      <c r="M11" s="8"/>
      <c r="N11" s="6"/>
    </row>
    <row r="12" spans="1:14" x14ac:dyDescent="0.2">
      <c r="A12" s="3" t="s">
        <v>12</v>
      </c>
      <c r="B12" s="1">
        <v>658.85</v>
      </c>
      <c r="C12" s="1">
        <v>637.32000000000005</v>
      </c>
      <c r="D12" s="11">
        <v>659.45</v>
      </c>
      <c r="E12" s="1">
        <v>1013.55</v>
      </c>
      <c r="F12" s="6"/>
      <c r="G12" s="1">
        <f t="shared" ref="G12:G31" si="5">C12-B12</f>
        <v>-21.529999999999973</v>
      </c>
      <c r="H12" s="1">
        <f>C12-B12</f>
        <v>-21.529999999999973</v>
      </c>
      <c r="I12" s="1">
        <f t="shared" ref="I12:I30" si="6">E12-B12</f>
        <v>354.69999999999993</v>
      </c>
      <c r="J12" s="6"/>
      <c r="K12" s="5">
        <f t="shared" ref="K12:K31" si="7">G12/B12</f>
        <v>-3.2678151324277108E-2</v>
      </c>
      <c r="L12" s="5">
        <f t="shared" ref="L12:L31" si="8">H12/B12</f>
        <v>-3.2678151324277108E-2</v>
      </c>
      <c r="M12" s="5">
        <f t="shared" ref="M12:M30" si="9">I12/B12</f>
        <v>0.53836229794338608</v>
      </c>
      <c r="N12" s="6"/>
    </row>
    <row r="13" spans="1:14" x14ac:dyDescent="0.2">
      <c r="A13" s="3" t="s">
        <v>13</v>
      </c>
      <c r="B13" s="1">
        <v>232</v>
      </c>
      <c r="C13" s="1">
        <v>210.62</v>
      </c>
      <c r="D13" s="11">
        <v>232.59</v>
      </c>
      <c r="E13" s="1">
        <v>581.49</v>
      </c>
      <c r="F13" s="6"/>
      <c r="G13" s="1">
        <f t="shared" si="5"/>
        <v>-21.379999999999995</v>
      </c>
      <c r="H13" s="1">
        <f t="shared" ref="H13:H31" si="10">C13-B13</f>
        <v>-21.379999999999995</v>
      </c>
      <c r="I13" s="1">
        <f t="shared" si="6"/>
        <v>349.49</v>
      </c>
      <c r="J13" s="6"/>
      <c r="K13" s="5">
        <f t="shared" si="7"/>
        <v>-9.2155172413793091E-2</v>
      </c>
      <c r="L13" s="5">
        <f t="shared" si="8"/>
        <v>-9.2155172413793091E-2</v>
      </c>
      <c r="M13" s="5">
        <f t="shared" si="9"/>
        <v>1.5064224137931035</v>
      </c>
      <c r="N13" s="6"/>
    </row>
    <row r="14" spans="1:14" x14ac:dyDescent="0.2">
      <c r="A14" s="3" t="s">
        <v>14</v>
      </c>
      <c r="B14" s="1">
        <v>414.27</v>
      </c>
      <c r="C14" s="1">
        <v>414.12</v>
      </c>
      <c r="D14" s="11">
        <v>414.25</v>
      </c>
      <c r="E14" s="1">
        <v>416.45</v>
      </c>
      <c r="F14" s="6"/>
      <c r="G14" s="1">
        <f t="shared" si="5"/>
        <v>-0.14999999999997726</v>
      </c>
      <c r="H14" s="1">
        <f t="shared" si="10"/>
        <v>-0.14999999999997726</v>
      </c>
      <c r="I14" s="1">
        <f t="shared" si="6"/>
        <v>2.1800000000000068</v>
      </c>
      <c r="J14" s="6"/>
      <c r="K14" s="5">
        <f t="shared" si="7"/>
        <v>-3.6208269968855401E-4</v>
      </c>
      <c r="L14" s="5">
        <f t="shared" si="8"/>
        <v>-3.6208269968855401E-4</v>
      </c>
      <c r="M14" s="5">
        <f t="shared" si="9"/>
        <v>5.2622685688077991E-3</v>
      </c>
      <c r="N14" s="6"/>
    </row>
    <row r="15" spans="1:14" x14ac:dyDescent="0.2">
      <c r="A15" s="3" t="s">
        <v>15</v>
      </c>
      <c r="B15" s="1">
        <v>12.58</v>
      </c>
      <c r="C15" s="1">
        <v>12.57</v>
      </c>
      <c r="D15" s="11">
        <v>12.6</v>
      </c>
      <c r="E15" s="1">
        <v>15.62</v>
      </c>
      <c r="F15" s="6"/>
      <c r="G15" s="1">
        <f t="shared" si="5"/>
        <v>-9.9999999999997868E-3</v>
      </c>
      <c r="H15" s="1">
        <f t="shared" si="10"/>
        <v>-9.9999999999997868E-3</v>
      </c>
      <c r="I15" s="1">
        <f t="shared" si="6"/>
        <v>3.0399999999999991</v>
      </c>
      <c r="J15" s="6"/>
      <c r="K15" s="5">
        <f t="shared" si="7"/>
        <v>-7.94912559618425E-4</v>
      </c>
      <c r="L15" s="5">
        <f t="shared" si="8"/>
        <v>-7.94912559618425E-4</v>
      </c>
      <c r="M15" s="5">
        <f t="shared" si="9"/>
        <v>0.24165341812400629</v>
      </c>
      <c r="N15" s="6"/>
    </row>
    <row r="16" spans="1:14" x14ac:dyDescent="0.2">
      <c r="A16" s="3" t="s">
        <v>17</v>
      </c>
      <c r="B16" s="18">
        <v>236.58</v>
      </c>
      <c r="C16" s="18">
        <v>215.2</v>
      </c>
      <c r="D16" s="19">
        <v>237.19</v>
      </c>
      <c r="E16" s="18">
        <v>589.1</v>
      </c>
      <c r="F16" s="6"/>
      <c r="G16" s="1">
        <f t="shared" si="5"/>
        <v>-21.380000000000024</v>
      </c>
      <c r="H16" s="1">
        <f t="shared" si="10"/>
        <v>-21.380000000000024</v>
      </c>
      <c r="I16" s="1">
        <f t="shared" si="6"/>
        <v>352.52</v>
      </c>
      <c r="J16" s="6"/>
      <c r="K16" s="5">
        <f t="shared" si="7"/>
        <v>-9.0371121819257855E-2</v>
      </c>
      <c r="L16" s="5">
        <f t="shared" si="8"/>
        <v>-9.0371121819257855E-2</v>
      </c>
      <c r="M16" s="5">
        <f t="shared" si="9"/>
        <v>1.4900667850198663</v>
      </c>
      <c r="N16" s="6"/>
    </row>
    <row r="17" spans="1:14" x14ac:dyDescent="0.2">
      <c r="A17" s="3" t="s">
        <v>16</v>
      </c>
      <c r="B17" s="18">
        <v>149.08000000000001</v>
      </c>
      <c r="C17" s="18">
        <v>141.09</v>
      </c>
      <c r="D17" s="19">
        <v>150.4</v>
      </c>
      <c r="E17" s="18">
        <v>376.01</v>
      </c>
      <c r="F17" s="6"/>
      <c r="G17" s="1">
        <f t="shared" si="5"/>
        <v>-7.9900000000000091</v>
      </c>
      <c r="H17" s="1">
        <f t="shared" si="10"/>
        <v>-7.9900000000000091</v>
      </c>
      <c r="I17" s="1">
        <f t="shared" si="6"/>
        <v>226.92999999999998</v>
      </c>
      <c r="J17" s="6"/>
      <c r="K17" s="5">
        <f t="shared" si="7"/>
        <v>-5.3595385028172848E-2</v>
      </c>
      <c r="L17" s="5">
        <f t="shared" si="8"/>
        <v>-5.3595385028172848E-2</v>
      </c>
      <c r="M17" s="5">
        <f t="shared" si="9"/>
        <v>1.5222028441105444</v>
      </c>
      <c r="N17" s="6"/>
    </row>
    <row r="18" spans="1:14" x14ac:dyDescent="0.2">
      <c r="A18" s="3" t="s">
        <v>18</v>
      </c>
      <c r="B18" s="18">
        <v>10.01</v>
      </c>
      <c r="C18" s="18">
        <v>8.35</v>
      </c>
      <c r="D18" s="19">
        <v>8.4499999999999993</v>
      </c>
      <c r="E18" s="18">
        <v>21.14</v>
      </c>
      <c r="F18" s="6"/>
      <c r="G18" s="1">
        <f t="shared" si="5"/>
        <v>-1.6600000000000001</v>
      </c>
      <c r="H18" s="1">
        <f t="shared" si="10"/>
        <v>-1.6600000000000001</v>
      </c>
      <c r="I18" s="1">
        <f t="shared" si="6"/>
        <v>11.13</v>
      </c>
      <c r="J18" s="6"/>
      <c r="K18" s="5">
        <f t="shared" si="7"/>
        <v>-0.16583416583416585</v>
      </c>
      <c r="L18" s="5">
        <f t="shared" si="8"/>
        <v>-0.16583416583416585</v>
      </c>
      <c r="M18" s="5">
        <f t="shared" si="9"/>
        <v>1.1118881118881121</v>
      </c>
      <c r="N18" s="6"/>
    </row>
    <row r="19" spans="1:14" x14ac:dyDescent="0.2">
      <c r="A19" s="3" t="s">
        <v>19</v>
      </c>
      <c r="B19" s="18">
        <v>7.32</v>
      </c>
      <c r="C19" s="18">
        <v>6.68</v>
      </c>
      <c r="D19" s="19">
        <v>6.65</v>
      </c>
      <c r="E19" s="18">
        <v>16.63</v>
      </c>
      <c r="F19" s="6"/>
      <c r="G19" s="1">
        <f t="shared" si="5"/>
        <v>-0.64000000000000057</v>
      </c>
      <c r="H19" s="1">
        <f t="shared" si="10"/>
        <v>-0.64000000000000057</v>
      </c>
      <c r="I19" s="1">
        <f t="shared" si="6"/>
        <v>9.3099999999999987</v>
      </c>
      <c r="J19" s="6"/>
      <c r="K19" s="5">
        <f t="shared" si="7"/>
        <v>-8.7431693989071108E-2</v>
      </c>
      <c r="L19" s="5">
        <f t="shared" si="8"/>
        <v>-8.7431693989071108E-2</v>
      </c>
      <c r="M19" s="5">
        <f t="shared" si="9"/>
        <v>1.2718579234972676</v>
      </c>
      <c r="N19" s="6"/>
    </row>
    <row r="20" spans="1:14" x14ac:dyDescent="0.2">
      <c r="A20" s="3" t="s">
        <v>22</v>
      </c>
      <c r="B20" s="18">
        <v>43.9</v>
      </c>
      <c r="C20" s="18">
        <v>43.46</v>
      </c>
      <c r="D20" s="19">
        <v>20.58</v>
      </c>
      <c r="E20" s="18">
        <v>51.45</v>
      </c>
      <c r="F20" s="6"/>
      <c r="G20" s="1">
        <f t="shared" si="5"/>
        <v>-0.43999999999999773</v>
      </c>
      <c r="H20" s="1">
        <f t="shared" si="10"/>
        <v>-0.43999999999999773</v>
      </c>
      <c r="I20" s="1">
        <f t="shared" si="6"/>
        <v>7.5500000000000043</v>
      </c>
      <c r="J20" s="6"/>
      <c r="K20" s="5">
        <f t="shared" si="7"/>
        <v>-1.002277904328013E-2</v>
      </c>
      <c r="L20" s="5">
        <f t="shared" si="8"/>
        <v>-1.002277904328013E-2</v>
      </c>
      <c r="M20" s="5">
        <f t="shared" si="9"/>
        <v>0.17198177676537596</v>
      </c>
      <c r="N20" s="6"/>
    </row>
    <row r="21" spans="1:14" x14ac:dyDescent="0.2">
      <c r="A21" s="3" t="s">
        <v>23</v>
      </c>
      <c r="B21" s="18">
        <v>39.6</v>
      </c>
      <c r="C21" s="18">
        <v>39.049999999999997</v>
      </c>
      <c r="D21" s="19">
        <v>16.54</v>
      </c>
      <c r="E21" s="18">
        <v>41.35</v>
      </c>
      <c r="F21" s="6"/>
      <c r="G21" s="1">
        <f t="shared" si="5"/>
        <v>-0.55000000000000426</v>
      </c>
      <c r="H21" s="1">
        <f t="shared" si="10"/>
        <v>-0.55000000000000426</v>
      </c>
      <c r="I21" s="1">
        <f t="shared" si="6"/>
        <v>1.75</v>
      </c>
      <c r="J21" s="6"/>
      <c r="K21" s="5">
        <f t="shared" si="7"/>
        <v>-1.3888888888888996E-2</v>
      </c>
      <c r="L21" s="5">
        <f t="shared" si="8"/>
        <v>-1.3888888888888996E-2</v>
      </c>
      <c r="M21" s="5">
        <f t="shared" si="9"/>
        <v>4.4191919191919192E-2</v>
      </c>
      <c r="N21" s="6"/>
    </row>
    <row r="22" spans="1:14" x14ac:dyDescent="0.2">
      <c r="A22" s="3" t="s">
        <v>20</v>
      </c>
      <c r="B22" s="18">
        <v>14.16</v>
      </c>
      <c r="C22" s="18">
        <v>13.6</v>
      </c>
      <c r="D22" s="19">
        <v>37.5</v>
      </c>
      <c r="E22" s="18">
        <v>93.76</v>
      </c>
      <c r="F22" s="6"/>
      <c r="G22" s="1">
        <f t="shared" si="5"/>
        <v>-0.5600000000000005</v>
      </c>
      <c r="H22" s="1">
        <f t="shared" si="10"/>
        <v>-0.5600000000000005</v>
      </c>
      <c r="I22" s="1">
        <f t="shared" si="6"/>
        <v>79.600000000000009</v>
      </c>
      <c r="J22" s="6"/>
      <c r="K22" s="5">
        <f t="shared" si="7"/>
        <v>-3.9548022598870095E-2</v>
      </c>
      <c r="L22" s="5">
        <f t="shared" si="8"/>
        <v>-3.9548022598870095E-2</v>
      </c>
      <c r="M22" s="5">
        <f t="shared" si="9"/>
        <v>5.621468926553673</v>
      </c>
      <c r="N22" s="6"/>
    </row>
    <row r="23" spans="1:14" x14ac:dyDescent="0.2">
      <c r="A23" s="3" t="s">
        <v>21</v>
      </c>
      <c r="B23" s="18">
        <v>12.81</v>
      </c>
      <c r="C23" s="18">
        <v>12.56</v>
      </c>
      <c r="D23" s="19">
        <v>35.74</v>
      </c>
      <c r="E23" s="18">
        <v>89.34</v>
      </c>
      <c r="F23" s="6"/>
      <c r="G23" s="1">
        <f t="shared" si="5"/>
        <v>-0.25</v>
      </c>
      <c r="H23" s="1">
        <f t="shared" si="10"/>
        <v>-0.25</v>
      </c>
      <c r="I23" s="1">
        <f t="shared" si="6"/>
        <v>76.53</v>
      </c>
      <c r="J23" s="6"/>
      <c r="K23" s="5">
        <f t="shared" si="7"/>
        <v>-1.95160031225605E-2</v>
      </c>
      <c r="L23" s="5">
        <f t="shared" si="8"/>
        <v>-1.95160031225605E-2</v>
      </c>
      <c r="M23" s="5">
        <f t="shared" si="9"/>
        <v>5.9742388758782203</v>
      </c>
      <c r="N23" s="6"/>
    </row>
    <row r="24" spans="1:14" x14ac:dyDescent="0.2">
      <c r="A24" s="3" t="s">
        <v>24</v>
      </c>
      <c r="B24" s="18">
        <v>1.68</v>
      </c>
      <c r="C24" s="18">
        <v>0.57999999999999996</v>
      </c>
      <c r="D24" s="19">
        <v>1.4</v>
      </c>
      <c r="E24" s="18">
        <v>3.51</v>
      </c>
      <c r="F24" s="6"/>
      <c r="G24" s="1">
        <f t="shared" si="5"/>
        <v>-1.1000000000000001</v>
      </c>
      <c r="H24" s="1">
        <f t="shared" si="10"/>
        <v>-1.1000000000000001</v>
      </c>
      <c r="I24" s="1">
        <f t="shared" si="6"/>
        <v>1.8299999999999998</v>
      </c>
      <c r="J24" s="6"/>
      <c r="K24" s="5">
        <f t="shared" si="7"/>
        <v>-0.65476190476190488</v>
      </c>
      <c r="L24" s="5">
        <f t="shared" si="8"/>
        <v>-0.65476190476190488</v>
      </c>
      <c r="M24" s="5">
        <f t="shared" si="9"/>
        <v>1.0892857142857142</v>
      </c>
      <c r="N24" s="6"/>
    </row>
    <row r="25" spans="1:14" x14ac:dyDescent="0.2">
      <c r="A25" s="3" t="s">
        <v>25</v>
      </c>
      <c r="B25" s="18">
        <v>0.63</v>
      </c>
      <c r="C25" s="18">
        <v>0.28000000000000003</v>
      </c>
      <c r="D25" s="19">
        <v>0.56999999999999995</v>
      </c>
      <c r="E25" s="18">
        <v>1.41</v>
      </c>
      <c r="F25" s="6"/>
      <c r="G25" s="1">
        <f t="shared" si="5"/>
        <v>-0.35</v>
      </c>
      <c r="H25" s="1">
        <f t="shared" si="10"/>
        <v>-0.35</v>
      </c>
      <c r="I25" s="1">
        <f t="shared" si="6"/>
        <v>0.77999999999999992</v>
      </c>
      <c r="J25" s="6"/>
      <c r="K25" s="5">
        <f t="shared" si="7"/>
        <v>-0.55555555555555547</v>
      </c>
      <c r="L25" s="5">
        <f t="shared" si="8"/>
        <v>-0.55555555555555547</v>
      </c>
      <c r="M25" s="5">
        <f t="shared" si="9"/>
        <v>1.2380952380952379</v>
      </c>
      <c r="N25" s="6"/>
    </row>
    <row r="26" spans="1:14" x14ac:dyDescent="0.2">
      <c r="A26" s="3" t="s">
        <v>31</v>
      </c>
      <c r="B26" s="18">
        <v>64.56</v>
      </c>
      <c r="C26" s="18">
        <v>56.71</v>
      </c>
      <c r="D26" s="19">
        <v>71.53</v>
      </c>
      <c r="E26" s="18">
        <v>178.82</v>
      </c>
      <c r="F26" s="6"/>
      <c r="G26" s="1">
        <f t="shared" si="5"/>
        <v>-7.8500000000000014</v>
      </c>
      <c r="H26" s="1">
        <f t="shared" si="10"/>
        <v>-7.8500000000000014</v>
      </c>
      <c r="I26" s="1">
        <f t="shared" si="6"/>
        <v>114.25999999999999</v>
      </c>
      <c r="J26" s="6"/>
      <c r="K26" s="5">
        <f t="shared" si="7"/>
        <v>-0.1215923172242875</v>
      </c>
      <c r="L26" s="5">
        <f t="shared" si="8"/>
        <v>-0.1215923172242875</v>
      </c>
      <c r="M26" s="5">
        <f t="shared" si="9"/>
        <v>1.7698265179677817</v>
      </c>
      <c r="N26" s="6"/>
    </row>
    <row r="27" spans="1:14" x14ac:dyDescent="0.2">
      <c r="A27" s="3" t="s">
        <v>26</v>
      </c>
      <c r="B27" s="18">
        <v>31.62</v>
      </c>
      <c r="C27" s="18">
        <v>26.86</v>
      </c>
      <c r="D27" s="19">
        <v>34.15</v>
      </c>
      <c r="E27" s="18">
        <v>85.38</v>
      </c>
      <c r="F27" s="6"/>
      <c r="G27" s="1">
        <f t="shared" si="5"/>
        <v>-4.7600000000000016</v>
      </c>
      <c r="H27" s="1">
        <f t="shared" si="10"/>
        <v>-4.7600000000000016</v>
      </c>
      <c r="I27" s="1">
        <f t="shared" si="6"/>
        <v>53.759999999999991</v>
      </c>
      <c r="J27" s="6"/>
      <c r="K27" s="5">
        <f t="shared" si="7"/>
        <v>-0.15053763440860218</v>
      </c>
      <c r="L27" s="5">
        <f t="shared" si="8"/>
        <v>-0.15053763440860218</v>
      </c>
      <c r="M27" s="5">
        <f t="shared" si="9"/>
        <v>1.7001897533206827</v>
      </c>
      <c r="N27" s="6"/>
    </row>
    <row r="28" spans="1:14" x14ac:dyDescent="0.2">
      <c r="A28" s="3" t="s">
        <v>27</v>
      </c>
      <c r="B28" s="18">
        <v>5.2</v>
      </c>
      <c r="C28" s="18">
        <v>4.71</v>
      </c>
      <c r="D28" s="19">
        <v>5.89</v>
      </c>
      <c r="E28" s="18">
        <v>14.73</v>
      </c>
      <c r="F28" s="6"/>
      <c r="G28" s="1">
        <f t="shared" si="5"/>
        <v>-0.49000000000000021</v>
      </c>
      <c r="H28" s="1">
        <f t="shared" si="10"/>
        <v>-0.49000000000000021</v>
      </c>
      <c r="I28" s="1">
        <f t="shared" si="6"/>
        <v>9.5300000000000011</v>
      </c>
      <c r="J28" s="6"/>
      <c r="K28" s="5">
        <f t="shared" si="7"/>
        <v>-9.4230769230769271E-2</v>
      </c>
      <c r="L28" s="5">
        <f t="shared" si="8"/>
        <v>-9.4230769230769271E-2</v>
      </c>
      <c r="M28" s="5">
        <f t="shared" si="9"/>
        <v>1.8326923076923078</v>
      </c>
      <c r="N28" s="6"/>
    </row>
    <row r="29" spans="1:14" x14ac:dyDescent="0.2">
      <c r="A29" s="3" t="s">
        <v>28</v>
      </c>
      <c r="B29" s="18">
        <v>4.0199999999999996</v>
      </c>
      <c r="C29" s="18">
        <v>3.51</v>
      </c>
      <c r="D29" s="19">
        <v>4.51</v>
      </c>
      <c r="E29" s="18">
        <v>11.27</v>
      </c>
      <c r="F29" s="6"/>
      <c r="G29" s="1">
        <f t="shared" si="5"/>
        <v>-0.50999999999999979</v>
      </c>
      <c r="H29" s="1">
        <f t="shared" si="10"/>
        <v>-0.50999999999999979</v>
      </c>
      <c r="I29" s="1">
        <f t="shared" si="6"/>
        <v>7.25</v>
      </c>
      <c r="J29" s="6"/>
      <c r="K29" s="5">
        <f t="shared" si="7"/>
        <v>-0.12686567164179099</v>
      </c>
      <c r="L29" s="5">
        <f t="shared" si="8"/>
        <v>-0.12686567164179099</v>
      </c>
      <c r="M29" s="5">
        <f t="shared" si="9"/>
        <v>1.8034825870646769</v>
      </c>
      <c r="N29" s="6"/>
    </row>
    <row r="30" spans="1:14" x14ac:dyDescent="0.2">
      <c r="A30" s="3" t="s">
        <v>29</v>
      </c>
      <c r="B30" s="18">
        <v>55.4</v>
      </c>
      <c r="C30" s="18">
        <v>54.02</v>
      </c>
      <c r="D30" s="19">
        <v>54.25</v>
      </c>
      <c r="E30" s="18">
        <v>135.62</v>
      </c>
      <c r="F30" s="6"/>
      <c r="G30" s="1">
        <f t="shared" si="5"/>
        <v>-1.3799999999999955</v>
      </c>
      <c r="H30" s="1">
        <f t="shared" si="10"/>
        <v>-1.3799999999999955</v>
      </c>
      <c r="I30" s="1">
        <f t="shared" si="6"/>
        <v>80.22</v>
      </c>
      <c r="J30" s="6"/>
      <c r="K30" s="5">
        <f t="shared" si="7"/>
        <v>-2.4909747292418689E-2</v>
      </c>
      <c r="L30" s="5">
        <f t="shared" si="8"/>
        <v>-2.4909747292418689E-2</v>
      </c>
      <c r="M30" s="5">
        <f t="shared" si="9"/>
        <v>1.4480144404332129</v>
      </c>
      <c r="N30" s="6"/>
    </row>
    <row r="31" spans="1:14" x14ac:dyDescent="0.2">
      <c r="A31" s="3" t="s">
        <v>30</v>
      </c>
      <c r="B31" s="18">
        <v>50.91</v>
      </c>
      <c r="C31" s="18">
        <v>49.98</v>
      </c>
      <c r="D31" s="19">
        <v>49.99</v>
      </c>
      <c r="E31" s="18">
        <v>124.98</v>
      </c>
      <c r="F31" s="6"/>
      <c r="G31" s="1">
        <f t="shared" si="5"/>
        <v>-0.92999999999999972</v>
      </c>
      <c r="H31" s="1">
        <f t="shared" si="10"/>
        <v>-0.92999999999999972</v>
      </c>
      <c r="I31" s="1">
        <f>E31-B31</f>
        <v>74.070000000000007</v>
      </c>
      <c r="J31" s="6"/>
      <c r="K31" s="5">
        <f t="shared" si="7"/>
        <v>-1.8267530936947551E-2</v>
      </c>
      <c r="L31" s="5">
        <f t="shared" si="8"/>
        <v>-1.8267530936947551E-2</v>
      </c>
      <c r="M31" s="5">
        <f>I31/B31</f>
        <v>1.4549204478491458</v>
      </c>
      <c r="N31" s="6"/>
    </row>
    <row r="32" spans="1:14" x14ac:dyDescent="0.2">
      <c r="A32" s="7"/>
      <c r="B32" s="8"/>
      <c r="C32" s="8"/>
      <c r="D32" s="12"/>
      <c r="E32" s="8"/>
      <c r="F32" s="6"/>
      <c r="G32" s="8"/>
      <c r="H32" s="8"/>
      <c r="I32" s="8"/>
      <c r="J32" s="6"/>
      <c r="K32" s="8"/>
      <c r="L32" s="8"/>
      <c r="M32" s="8"/>
      <c r="N32" s="6"/>
    </row>
    <row r="33" spans="1:14" x14ac:dyDescent="0.2">
      <c r="A33" s="3" t="s">
        <v>32</v>
      </c>
      <c r="B33" s="1">
        <v>0.46843099999999999</v>
      </c>
      <c r="C33" s="15">
        <v>2.0848209999999998</v>
      </c>
      <c r="D33" s="15"/>
      <c r="E33" s="15"/>
      <c r="F33" s="6"/>
      <c r="G33" s="15">
        <f t="shared" ref="G33:G44" si="11">C33-B33</f>
        <v>1.6163899999999998</v>
      </c>
      <c r="H33" s="15"/>
      <c r="I33" s="15"/>
      <c r="J33" s="6"/>
      <c r="K33" s="13">
        <f>G33/B33</f>
        <v>3.4506469469356209</v>
      </c>
      <c r="L33" s="13"/>
      <c r="M33" s="13"/>
      <c r="N33" s="6"/>
    </row>
    <row r="34" spans="1:14" x14ac:dyDescent="0.2">
      <c r="A34" s="3" t="s">
        <v>33</v>
      </c>
      <c r="B34" s="1">
        <v>0.34279300000000001</v>
      </c>
      <c r="C34" s="15">
        <v>0.91198999999999997</v>
      </c>
      <c r="D34" s="15"/>
      <c r="E34" s="15"/>
      <c r="F34" s="6"/>
      <c r="G34" s="15">
        <f t="shared" si="11"/>
        <v>0.56919699999999995</v>
      </c>
      <c r="H34" s="15"/>
      <c r="I34" s="15"/>
      <c r="J34" s="6"/>
      <c r="K34" s="13">
        <f t="shared" ref="K34:K44" si="12">G34/B34</f>
        <v>1.6604685626602642</v>
      </c>
      <c r="L34" s="13"/>
      <c r="M34" s="13"/>
      <c r="N34" s="6"/>
    </row>
    <row r="35" spans="1:14" x14ac:dyDescent="0.2">
      <c r="A35" s="3" t="s">
        <v>34</v>
      </c>
      <c r="B35" s="1">
        <v>0</v>
      </c>
      <c r="C35" s="15">
        <v>1</v>
      </c>
      <c r="D35" s="15"/>
      <c r="E35" s="15"/>
      <c r="F35" s="6"/>
      <c r="G35" s="15">
        <f t="shared" si="11"/>
        <v>1</v>
      </c>
      <c r="H35" s="15"/>
      <c r="I35" s="15"/>
      <c r="J35" s="6"/>
      <c r="K35" s="13" t="s">
        <v>54</v>
      </c>
      <c r="L35" s="13"/>
      <c r="M35" s="13"/>
      <c r="N35" s="6"/>
    </row>
    <row r="36" spans="1:14" x14ac:dyDescent="0.2">
      <c r="A36" s="3" t="s">
        <v>35</v>
      </c>
      <c r="B36" s="1">
        <v>0</v>
      </c>
      <c r="C36" s="15">
        <v>1</v>
      </c>
      <c r="D36" s="15"/>
      <c r="E36" s="15"/>
      <c r="F36" s="6"/>
      <c r="G36" s="15">
        <f t="shared" si="11"/>
        <v>1</v>
      </c>
      <c r="H36" s="15"/>
      <c r="I36" s="15"/>
      <c r="J36" s="6"/>
      <c r="K36" s="13" t="s">
        <v>54</v>
      </c>
      <c r="L36" s="13"/>
      <c r="M36" s="13"/>
      <c r="N36" s="6"/>
    </row>
    <row r="37" spans="1:14" x14ac:dyDescent="0.2">
      <c r="A37" s="3" t="s">
        <v>36</v>
      </c>
      <c r="B37" s="1">
        <v>-3</v>
      </c>
      <c r="C37" s="15">
        <v>0</v>
      </c>
      <c r="D37" s="15"/>
      <c r="E37" s="15"/>
      <c r="F37" s="6"/>
      <c r="G37" s="15">
        <f t="shared" si="11"/>
        <v>3</v>
      </c>
      <c r="H37" s="15"/>
      <c r="I37" s="15"/>
      <c r="J37" s="6"/>
      <c r="K37" s="13">
        <f t="shared" si="12"/>
        <v>-1</v>
      </c>
      <c r="L37" s="13"/>
      <c r="M37" s="13"/>
      <c r="N37" s="6"/>
    </row>
    <row r="38" spans="1:14" x14ac:dyDescent="0.2">
      <c r="A38" s="3" t="s">
        <v>37</v>
      </c>
      <c r="B38" s="1">
        <v>1</v>
      </c>
      <c r="C38" s="15">
        <v>5</v>
      </c>
      <c r="D38" s="15"/>
      <c r="E38" s="15"/>
      <c r="F38" s="6"/>
      <c r="G38" s="15">
        <f t="shared" si="11"/>
        <v>4</v>
      </c>
      <c r="H38" s="15"/>
      <c r="I38" s="15"/>
      <c r="J38" s="6"/>
      <c r="K38" s="13">
        <f t="shared" si="12"/>
        <v>4</v>
      </c>
      <c r="L38" s="13"/>
      <c r="M38" s="13"/>
      <c r="N38" s="6"/>
    </row>
    <row r="39" spans="1:14" x14ac:dyDescent="0.2">
      <c r="A39" s="3" t="s">
        <v>38</v>
      </c>
      <c r="B39" s="1">
        <v>7.5959820000000002</v>
      </c>
      <c r="C39" s="15">
        <v>7.1970660000000004</v>
      </c>
      <c r="D39" s="15"/>
      <c r="E39" s="15"/>
      <c r="F39" s="6"/>
      <c r="G39" s="15">
        <f t="shared" si="11"/>
        <v>-0.39891599999999983</v>
      </c>
      <c r="H39" s="15"/>
      <c r="I39" s="15"/>
      <c r="J39" s="6"/>
      <c r="K39" s="13">
        <f t="shared" si="12"/>
        <v>-5.2516712124910221E-2</v>
      </c>
      <c r="L39" s="13"/>
      <c r="M39" s="13"/>
      <c r="N39" s="6"/>
    </row>
    <row r="40" spans="1:14" x14ac:dyDescent="0.2">
      <c r="A40" s="3" t="s">
        <v>39</v>
      </c>
      <c r="B40" s="1">
        <v>8</v>
      </c>
      <c r="C40" s="15">
        <v>7</v>
      </c>
      <c r="D40" s="15"/>
      <c r="E40" s="15"/>
      <c r="F40" s="6"/>
      <c r="G40" s="15">
        <f t="shared" si="11"/>
        <v>-1</v>
      </c>
      <c r="H40" s="15"/>
      <c r="I40" s="15"/>
      <c r="J40" s="6"/>
      <c r="K40" s="13">
        <f t="shared" si="12"/>
        <v>-0.125</v>
      </c>
      <c r="L40" s="13"/>
      <c r="M40" s="13"/>
      <c r="N40" s="6"/>
    </row>
    <row r="41" spans="1:14" x14ac:dyDescent="0.2">
      <c r="A41" s="3" t="s">
        <v>40</v>
      </c>
      <c r="B41" s="1">
        <v>8</v>
      </c>
      <c r="C41" s="15">
        <v>8</v>
      </c>
      <c r="D41" s="15"/>
      <c r="E41" s="15"/>
      <c r="F41" s="6"/>
      <c r="G41" s="15">
        <f t="shared" si="11"/>
        <v>0</v>
      </c>
      <c r="H41" s="15"/>
      <c r="I41" s="15"/>
      <c r="J41" s="6"/>
      <c r="K41" s="13">
        <f t="shared" si="12"/>
        <v>0</v>
      </c>
      <c r="L41" s="13"/>
      <c r="M41" s="13"/>
      <c r="N41" s="6"/>
    </row>
    <row r="42" spans="1:14" x14ac:dyDescent="0.2">
      <c r="A42" s="3" t="s">
        <v>41</v>
      </c>
      <c r="B42" s="1">
        <v>5</v>
      </c>
      <c r="C42" s="15">
        <v>4</v>
      </c>
      <c r="D42" s="15"/>
      <c r="E42" s="15"/>
      <c r="F42" s="6"/>
      <c r="G42" s="15">
        <f t="shared" si="11"/>
        <v>-1</v>
      </c>
      <c r="H42" s="15"/>
      <c r="I42" s="15"/>
      <c r="J42" s="6"/>
      <c r="K42" s="13">
        <f t="shared" si="12"/>
        <v>-0.2</v>
      </c>
      <c r="L42" s="13"/>
      <c r="M42" s="13"/>
      <c r="N42" s="6"/>
    </row>
    <row r="43" spans="1:14" x14ac:dyDescent="0.2">
      <c r="A43" s="3" t="s">
        <v>70</v>
      </c>
      <c r="B43" s="1">
        <v>2234</v>
      </c>
      <c r="C43" s="15">
        <v>1454</v>
      </c>
      <c r="D43" s="15"/>
      <c r="E43" s="15"/>
      <c r="F43" s="6"/>
      <c r="G43" s="15">
        <f t="shared" si="11"/>
        <v>-780</v>
      </c>
      <c r="H43" s="15"/>
      <c r="I43" s="15"/>
      <c r="J43" s="6"/>
      <c r="K43" s="13">
        <f t="shared" si="12"/>
        <v>-0.34914950760966873</v>
      </c>
      <c r="L43" s="13"/>
      <c r="M43" s="13"/>
      <c r="N43" s="6"/>
    </row>
    <row r="44" spans="1:14" x14ac:dyDescent="0.2">
      <c r="A44" s="3" t="s">
        <v>42</v>
      </c>
      <c r="B44" s="5">
        <v>0.71237245000000005</v>
      </c>
      <c r="C44" s="16">
        <v>0.46364796000000003</v>
      </c>
      <c r="D44" s="16"/>
      <c r="E44" s="16"/>
      <c r="F44" s="6"/>
      <c r="G44" s="15">
        <f t="shared" si="11"/>
        <v>-0.24872449000000002</v>
      </c>
      <c r="H44" s="15"/>
      <c r="I44" s="15"/>
      <c r="J44" s="6"/>
      <c r="K44" s="13">
        <f t="shared" si="12"/>
        <v>-0.34914950739602579</v>
      </c>
      <c r="L44" s="13"/>
      <c r="M44" s="13"/>
      <c r="N44" s="6"/>
    </row>
    <row r="45" spans="1:14" x14ac:dyDescent="0.2">
      <c r="A45" s="7"/>
      <c r="B45" s="8"/>
      <c r="C45" s="8"/>
      <c r="D45" s="12"/>
      <c r="E45" s="8"/>
      <c r="F45" s="6"/>
      <c r="G45" s="8"/>
      <c r="H45" s="8"/>
      <c r="I45" s="8"/>
      <c r="J45" s="6"/>
      <c r="K45" s="8"/>
      <c r="L45" s="8"/>
      <c r="M45" s="8"/>
      <c r="N45" s="6"/>
    </row>
    <row r="46" spans="1:14" x14ac:dyDescent="0.2">
      <c r="A46" s="3" t="s">
        <v>43</v>
      </c>
      <c r="B46" s="1">
        <v>15.246810999999999</v>
      </c>
      <c r="C46" s="15">
        <v>3.3973209999999998</v>
      </c>
      <c r="D46" s="15"/>
      <c r="E46" s="15"/>
      <c r="F46" s="6"/>
      <c r="G46" s="15">
        <f t="shared" ref="G46:G57" si="13">C46-B46</f>
        <v>-11.849489999999999</v>
      </c>
      <c r="H46" s="15"/>
      <c r="I46" s="15"/>
      <c r="J46" s="6"/>
      <c r="K46" s="13">
        <f>G46/B46</f>
        <v>-0.77717825714505151</v>
      </c>
      <c r="L46" s="13"/>
      <c r="M46" s="13"/>
      <c r="N46" s="6"/>
    </row>
    <row r="47" spans="1:14" x14ac:dyDescent="0.2">
      <c r="A47" s="3" t="s">
        <v>44</v>
      </c>
      <c r="B47" s="1">
        <v>2.0593110000000001</v>
      </c>
      <c r="C47" s="15">
        <v>1.760842</v>
      </c>
      <c r="D47" s="15"/>
      <c r="E47" s="15"/>
      <c r="F47" s="6"/>
      <c r="G47" s="15">
        <f t="shared" si="13"/>
        <v>-0.2984690000000001</v>
      </c>
      <c r="H47" s="15"/>
      <c r="I47" s="15"/>
      <c r="J47" s="6"/>
      <c r="K47" s="13">
        <f t="shared" ref="K47:K57" si="14">G47/B47</f>
        <v>-0.14493634035849859</v>
      </c>
      <c r="L47" s="13"/>
      <c r="M47" s="13"/>
      <c r="N47" s="6"/>
    </row>
    <row r="48" spans="1:14" x14ac:dyDescent="0.2">
      <c r="A48" s="3" t="s">
        <v>45</v>
      </c>
      <c r="B48" s="1">
        <v>2</v>
      </c>
      <c r="C48" s="15">
        <v>2</v>
      </c>
      <c r="D48" s="15"/>
      <c r="E48" s="15"/>
      <c r="F48" s="6"/>
      <c r="G48" s="15">
        <f t="shared" si="13"/>
        <v>0</v>
      </c>
      <c r="H48" s="15"/>
      <c r="I48" s="15"/>
      <c r="J48" s="6"/>
      <c r="K48" s="13">
        <f t="shared" si="14"/>
        <v>0</v>
      </c>
      <c r="L48" s="13"/>
      <c r="M48" s="13"/>
      <c r="N48" s="6"/>
    </row>
    <row r="49" spans="1:14" x14ac:dyDescent="0.2">
      <c r="A49" s="3" t="s">
        <v>46</v>
      </c>
      <c r="B49" s="1">
        <v>-2</v>
      </c>
      <c r="C49" s="15">
        <v>-2</v>
      </c>
      <c r="D49" s="15"/>
      <c r="E49" s="15"/>
      <c r="F49" s="6"/>
      <c r="G49" s="15">
        <f t="shared" si="13"/>
        <v>0</v>
      </c>
      <c r="H49" s="15"/>
      <c r="I49" s="15"/>
      <c r="J49" s="6"/>
      <c r="K49" s="13">
        <f t="shared" si="14"/>
        <v>0</v>
      </c>
      <c r="L49" s="13"/>
      <c r="M49" s="13"/>
      <c r="N49" s="6"/>
    </row>
    <row r="50" spans="1:14" x14ac:dyDescent="0.2">
      <c r="A50" s="3" t="s">
        <v>47</v>
      </c>
      <c r="B50" s="1">
        <v>-3</v>
      </c>
      <c r="C50" s="15">
        <v>-3</v>
      </c>
      <c r="D50" s="15"/>
      <c r="E50" s="15"/>
      <c r="F50" s="6"/>
      <c r="G50" s="15">
        <f t="shared" si="13"/>
        <v>0</v>
      </c>
      <c r="H50" s="15"/>
      <c r="I50" s="15"/>
      <c r="J50" s="6"/>
      <c r="K50" s="13">
        <f t="shared" si="14"/>
        <v>0</v>
      </c>
      <c r="L50" s="13"/>
      <c r="M50" s="13"/>
      <c r="N50" s="6"/>
    </row>
    <row r="51" spans="1:14" x14ac:dyDescent="0.2">
      <c r="A51" s="3" t="s">
        <v>48</v>
      </c>
      <c r="B51" s="1">
        <v>90</v>
      </c>
      <c r="C51" s="15">
        <v>3</v>
      </c>
      <c r="D51" s="15"/>
      <c r="E51" s="15"/>
      <c r="F51" s="6"/>
      <c r="G51" s="15">
        <f t="shared" si="13"/>
        <v>-87</v>
      </c>
      <c r="H51" s="15"/>
      <c r="I51" s="15"/>
      <c r="J51" s="6"/>
      <c r="K51" s="13">
        <f t="shared" si="14"/>
        <v>-0.96666666666666667</v>
      </c>
      <c r="L51" s="13"/>
      <c r="M51" s="13"/>
      <c r="N51" s="6"/>
    </row>
    <row r="52" spans="1:14" x14ac:dyDescent="0.2">
      <c r="A52" s="3" t="s">
        <v>49</v>
      </c>
      <c r="B52" s="1">
        <v>6.7799740000000002</v>
      </c>
      <c r="C52" s="15">
        <v>6.0893110000000004</v>
      </c>
      <c r="D52" s="15"/>
      <c r="E52" s="15"/>
      <c r="F52" s="6"/>
      <c r="G52" s="15">
        <f t="shared" si="13"/>
        <v>-0.6906629999999998</v>
      </c>
      <c r="H52" s="15"/>
      <c r="I52" s="15"/>
      <c r="J52" s="6"/>
      <c r="K52" s="13">
        <f t="shared" si="14"/>
        <v>-0.10186808975963621</v>
      </c>
      <c r="L52" s="13"/>
      <c r="M52" s="13"/>
      <c r="N52" s="6"/>
    </row>
    <row r="53" spans="1:14" x14ac:dyDescent="0.2">
      <c r="A53" s="3" t="s">
        <v>50</v>
      </c>
      <c r="B53" s="1">
        <v>7</v>
      </c>
      <c r="C53" s="15">
        <v>7</v>
      </c>
      <c r="D53" s="15"/>
      <c r="E53" s="15"/>
      <c r="F53" s="6"/>
      <c r="G53" s="15">
        <f t="shared" si="13"/>
        <v>0</v>
      </c>
      <c r="H53" s="15"/>
      <c r="I53" s="15"/>
      <c r="J53" s="6"/>
      <c r="K53" s="13">
        <f t="shared" si="14"/>
        <v>0</v>
      </c>
      <c r="L53" s="13"/>
      <c r="M53" s="13"/>
      <c r="N53" s="6"/>
    </row>
    <row r="54" spans="1:14" x14ac:dyDescent="0.2">
      <c r="A54" s="3" t="s">
        <v>51</v>
      </c>
      <c r="B54" s="1">
        <v>8</v>
      </c>
      <c r="C54" s="15">
        <v>8</v>
      </c>
      <c r="D54" s="15"/>
      <c r="E54" s="15"/>
      <c r="F54" s="6"/>
      <c r="G54" s="15">
        <f t="shared" si="13"/>
        <v>0</v>
      </c>
      <c r="H54" s="15"/>
      <c r="I54" s="15"/>
      <c r="J54" s="6"/>
      <c r="K54" s="13">
        <f t="shared" si="14"/>
        <v>0</v>
      </c>
      <c r="L54" s="13"/>
      <c r="M54" s="13"/>
      <c r="N54" s="6"/>
    </row>
    <row r="55" spans="1:14" x14ac:dyDescent="0.2">
      <c r="A55" s="3" t="s">
        <v>52</v>
      </c>
      <c r="B55" s="1">
        <v>3</v>
      </c>
      <c r="C55" s="15">
        <v>5</v>
      </c>
      <c r="D55" s="15"/>
      <c r="E55" s="15"/>
      <c r="F55" s="6"/>
      <c r="G55" s="15">
        <f t="shared" si="13"/>
        <v>2</v>
      </c>
      <c r="H55" s="15"/>
      <c r="I55" s="15"/>
      <c r="J55" s="6"/>
      <c r="K55" s="13">
        <f t="shared" si="14"/>
        <v>0.66666666666666663</v>
      </c>
      <c r="L55" s="13"/>
      <c r="M55" s="13"/>
      <c r="N55" s="6"/>
    </row>
    <row r="56" spans="1:14" x14ac:dyDescent="0.2">
      <c r="A56" s="3" t="s">
        <v>71</v>
      </c>
      <c r="B56" s="1">
        <v>72</v>
      </c>
      <c r="C56" s="15">
        <v>93</v>
      </c>
      <c r="D56" s="15"/>
      <c r="E56" s="15"/>
      <c r="F56" s="6"/>
      <c r="G56" s="15">
        <f t="shared" si="13"/>
        <v>21</v>
      </c>
      <c r="H56" s="15"/>
      <c r="I56" s="15"/>
      <c r="J56" s="6"/>
      <c r="K56" s="13">
        <f t="shared" si="14"/>
        <v>0.29166666666666669</v>
      </c>
      <c r="L56" s="13"/>
      <c r="M56" s="13"/>
      <c r="N56" s="6"/>
    </row>
    <row r="57" spans="1:14" x14ac:dyDescent="0.2">
      <c r="A57" s="3" t="s">
        <v>53</v>
      </c>
      <c r="B57" s="5">
        <v>2.2959179999999999E-2</v>
      </c>
      <c r="C57" s="13">
        <v>2.9655609999999999E-2</v>
      </c>
      <c r="D57" s="13"/>
      <c r="E57" s="13"/>
      <c r="F57" s="6"/>
      <c r="G57" s="15">
        <f t="shared" si="13"/>
        <v>6.6964299999999997E-3</v>
      </c>
      <c r="H57" s="15"/>
      <c r="I57" s="15"/>
      <c r="J57" s="6"/>
      <c r="K57" s="13">
        <f t="shared" si="14"/>
        <v>0.29166677555557297</v>
      </c>
      <c r="L57" s="13"/>
      <c r="M57" s="13"/>
      <c r="N57" s="6"/>
    </row>
    <row r="58" spans="1:14" x14ac:dyDescent="0.2">
      <c r="A58" s="7"/>
      <c r="B58" s="8"/>
      <c r="C58" s="8"/>
      <c r="D58" s="12"/>
      <c r="E58" s="8"/>
      <c r="F58" s="6"/>
      <c r="G58" s="8"/>
      <c r="H58" s="8"/>
      <c r="I58" s="8"/>
      <c r="J58" s="6"/>
      <c r="K58" s="8"/>
      <c r="L58" s="8"/>
      <c r="M58" s="8"/>
      <c r="N58" s="6"/>
    </row>
    <row r="59" spans="1:14" x14ac:dyDescent="0.2">
      <c r="A59" s="3" t="s">
        <v>67</v>
      </c>
      <c r="B59" s="15" t="s">
        <v>66</v>
      </c>
      <c r="C59" s="15"/>
      <c r="D59" s="15"/>
      <c r="E59" s="15"/>
      <c r="F59" s="6"/>
      <c r="G59" s="15">
        <v>0</v>
      </c>
      <c r="H59" s="15"/>
      <c r="I59" s="15"/>
      <c r="J59" s="6"/>
      <c r="K59" s="17">
        <v>0</v>
      </c>
      <c r="L59" s="17"/>
      <c r="M59" s="17"/>
      <c r="N59" s="6"/>
    </row>
    <row r="60" spans="1:14" x14ac:dyDescent="0.2">
      <c r="A60" s="3" t="s">
        <v>59</v>
      </c>
      <c r="B60" s="15">
        <v>1</v>
      </c>
      <c r="C60" s="15"/>
      <c r="D60" s="15"/>
      <c r="E60" s="15"/>
      <c r="F60" s="6"/>
      <c r="G60" s="15">
        <v>0</v>
      </c>
      <c r="H60" s="15"/>
      <c r="I60" s="15"/>
      <c r="J60" s="6"/>
      <c r="K60" s="13">
        <f>G60/B60</f>
        <v>0</v>
      </c>
      <c r="L60" s="13"/>
      <c r="M60" s="13"/>
      <c r="N60" s="6"/>
    </row>
    <row r="61" spans="1:14" x14ac:dyDescent="0.2">
      <c r="A61" s="3" t="s">
        <v>60</v>
      </c>
      <c r="B61" s="15">
        <v>69633</v>
      </c>
      <c r="C61" s="15"/>
      <c r="D61" s="15"/>
      <c r="E61" s="15"/>
      <c r="F61" s="6"/>
      <c r="G61" s="15">
        <v>0</v>
      </c>
      <c r="H61" s="15"/>
      <c r="I61" s="15"/>
      <c r="J61" s="6"/>
      <c r="K61" s="13">
        <f>G61/B61</f>
        <v>0</v>
      </c>
      <c r="L61" s="13"/>
      <c r="M61" s="13"/>
      <c r="N61" s="6"/>
    </row>
    <row r="62" spans="1:14" x14ac:dyDescent="0.2">
      <c r="A62" s="3" t="s">
        <v>57</v>
      </c>
      <c r="B62" s="15">
        <v>70350</v>
      </c>
      <c r="C62" s="15"/>
      <c r="D62" s="15"/>
      <c r="E62" s="15"/>
      <c r="F62" s="6"/>
      <c r="G62" s="15">
        <v>0</v>
      </c>
      <c r="H62" s="15"/>
      <c r="I62" s="15"/>
      <c r="J62" s="6"/>
      <c r="K62" s="13">
        <f>G62/B62</f>
        <v>0</v>
      </c>
      <c r="L62" s="13"/>
      <c r="M62" s="13"/>
      <c r="N62" s="6"/>
    </row>
    <row r="63" spans="1:14" x14ac:dyDescent="0.2">
      <c r="A63" s="3" t="s">
        <v>58</v>
      </c>
      <c r="B63" s="15">
        <v>74925</v>
      </c>
      <c r="C63" s="15"/>
      <c r="D63" s="15"/>
      <c r="E63" s="15"/>
      <c r="F63" s="6"/>
      <c r="G63" s="15">
        <v>0</v>
      </c>
      <c r="H63" s="15"/>
      <c r="I63" s="15"/>
      <c r="J63" s="6"/>
      <c r="K63" s="13">
        <f>G63/B63</f>
        <v>0</v>
      </c>
      <c r="L63" s="13"/>
      <c r="M63" s="13"/>
      <c r="N63" s="6"/>
    </row>
    <row r="64" spans="1:14" x14ac:dyDescent="0.2">
      <c r="A64" s="3" t="s">
        <v>61</v>
      </c>
      <c r="B64" s="15">
        <f>B63-B60</f>
        <v>74924</v>
      </c>
      <c r="C64" s="15"/>
      <c r="D64" s="15"/>
      <c r="E64" s="15"/>
      <c r="F64" s="6"/>
      <c r="G64" s="15">
        <v>0</v>
      </c>
      <c r="H64" s="15"/>
      <c r="I64" s="15"/>
      <c r="J64" s="6"/>
      <c r="K64" s="13">
        <f>G64/B64</f>
        <v>0</v>
      </c>
      <c r="L64" s="13"/>
      <c r="M64" s="13"/>
      <c r="N64" s="6"/>
    </row>
    <row r="65" spans="1:14" x14ac:dyDescent="0.2">
      <c r="A65" s="3" t="s">
        <v>63</v>
      </c>
      <c r="B65" s="15">
        <f>B64/(B3*10^3)</f>
        <v>0.93654999999999999</v>
      </c>
      <c r="C65" s="15"/>
      <c r="D65" s="15"/>
      <c r="E65" s="1">
        <f>B64/(E3*10^3)</f>
        <v>0.37462000000000001</v>
      </c>
      <c r="F65" s="6"/>
      <c r="G65" s="15">
        <v>0</v>
      </c>
      <c r="H65" s="15"/>
      <c r="I65" s="1">
        <f>E65-B65</f>
        <v>-0.56193000000000004</v>
      </c>
      <c r="J65" s="6"/>
      <c r="K65" s="13">
        <v>0</v>
      </c>
      <c r="L65" s="13"/>
      <c r="M65" s="5">
        <f>I65/B65</f>
        <v>-0.60000000000000009</v>
      </c>
      <c r="N65" s="6"/>
    </row>
    <row r="66" spans="1:14" x14ac:dyDescent="0.2">
      <c r="A66" s="3" t="s">
        <v>62</v>
      </c>
      <c r="B66" s="15">
        <f>B63-B61</f>
        <v>5292</v>
      </c>
      <c r="C66" s="15"/>
      <c r="D66" s="15"/>
      <c r="E66" s="15"/>
      <c r="F66" s="6"/>
      <c r="G66" s="15">
        <v>0</v>
      </c>
      <c r="H66" s="15"/>
      <c r="I66" s="15"/>
      <c r="J66" s="6"/>
      <c r="K66" s="13">
        <f>G66/B66</f>
        <v>0</v>
      </c>
      <c r="L66" s="13"/>
      <c r="M66" s="13"/>
      <c r="N66" s="6"/>
    </row>
    <row r="67" spans="1:14" x14ac:dyDescent="0.2">
      <c r="A67" s="3" t="s">
        <v>64</v>
      </c>
      <c r="B67" s="15">
        <f>B66/B3</f>
        <v>66.150000000000006</v>
      </c>
      <c r="C67" s="15"/>
      <c r="D67" s="15"/>
      <c r="E67" s="1">
        <f>B66/E3</f>
        <v>26.46</v>
      </c>
      <c r="F67" s="6"/>
      <c r="G67" s="15">
        <v>0</v>
      </c>
      <c r="H67" s="15"/>
      <c r="I67" s="1">
        <f>E67-B67</f>
        <v>-39.690000000000005</v>
      </c>
      <c r="J67" s="6"/>
      <c r="K67" s="13">
        <v>0</v>
      </c>
      <c r="L67" s="13"/>
      <c r="M67" s="5">
        <f>I67/B67</f>
        <v>-0.6</v>
      </c>
      <c r="N67" s="6"/>
    </row>
    <row r="68" spans="1:14" x14ac:dyDescent="0.2">
      <c r="A68" s="3" t="s">
        <v>65</v>
      </c>
      <c r="B68" s="1">
        <f>B12*B65</f>
        <v>617.04596749999996</v>
      </c>
      <c r="C68" s="1">
        <f>C12*B65</f>
        <v>596.88204600000006</v>
      </c>
      <c r="D68" s="11">
        <f>D12*B65</f>
        <v>617.60789750000004</v>
      </c>
      <c r="E68" s="1">
        <f t="shared" ref="E68" si="15">E12*E65</f>
        <v>379.696101</v>
      </c>
      <c r="F68" s="6"/>
      <c r="G68" s="1">
        <f>C68-B68</f>
        <v>-20.163921499999901</v>
      </c>
      <c r="H68" s="1">
        <f>D68-B68</f>
        <v>0.56193000000007487</v>
      </c>
      <c r="I68" s="1">
        <f>E68-B68</f>
        <v>-237.34986649999996</v>
      </c>
      <c r="J68" s="6"/>
      <c r="K68" s="5">
        <f>G68/B68</f>
        <v>-3.267815132427699E-2</v>
      </c>
      <c r="L68" s="5">
        <f>H68/B68</f>
        <v>9.1067769598555059E-4</v>
      </c>
      <c r="M68" s="5"/>
      <c r="N68" s="6"/>
    </row>
    <row r="69" spans="1:14" x14ac:dyDescent="0.2">
      <c r="A69" s="3" t="s">
        <v>68</v>
      </c>
      <c r="B69" s="15">
        <f>1/(B65/1000)</f>
        <v>1067.7486519673269</v>
      </c>
      <c r="C69" s="15"/>
      <c r="D69" s="15"/>
      <c r="E69" s="1">
        <f>1/(E65/1000)</f>
        <v>2669.3716299183175</v>
      </c>
      <c r="F69" s="6"/>
      <c r="G69" s="15">
        <v>0</v>
      </c>
      <c r="H69" s="15"/>
      <c r="I69" s="1">
        <f>E69-B69</f>
        <v>1601.6229779509906</v>
      </c>
      <c r="J69" s="6"/>
      <c r="K69" s="13">
        <v>0</v>
      </c>
      <c r="L69" s="13"/>
      <c r="M69" s="5">
        <f>I69/B69</f>
        <v>1.5000000000000002</v>
      </c>
      <c r="N69" s="6"/>
    </row>
    <row r="70" spans="1:14" x14ac:dyDescent="0.2">
      <c r="A70" s="7"/>
      <c r="B70" s="8"/>
      <c r="C70" s="8"/>
      <c r="D70" s="12"/>
      <c r="E70" s="8"/>
      <c r="F70" s="6"/>
      <c r="G70" s="8"/>
      <c r="H70" s="8"/>
      <c r="I70" s="8"/>
      <c r="J70" s="6"/>
      <c r="K70" s="8"/>
      <c r="L70" s="8"/>
      <c r="M70" s="8"/>
      <c r="N70" s="6"/>
    </row>
  </sheetData>
  <mergeCells count="113">
    <mergeCell ref="K60:M60"/>
    <mergeCell ref="K61:M61"/>
    <mergeCell ref="K62:M62"/>
    <mergeCell ref="K63:M63"/>
    <mergeCell ref="K64:M64"/>
    <mergeCell ref="K59:M59"/>
    <mergeCell ref="G66:I66"/>
    <mergeCell ref="G67:H67"/>
    <mergeCell ref="G65:H65"/>
    <mergeCell ref="G69:H69"/>
    <mergeCell ref="K46:M46"/>
    <mergeCell ref="K47:M47"/>
    <mergeCell ref="K48:M48"/>
    <mergeCell ref="K49:M49"/>
    <mergeCell ref="K50:M50"/>
    <mergeCell ref="K51:M51"/>
    <mergeCell ref="K52:M52"/>
    <mergeCell ref="K53:M53"/>
    <mergeCell ref="K54:M54"/>
    <mergeCell ref="K55:M55"/>
    <mergeCell ref="K56:M56"/>
    <mergeCell ref="K57:M57"/>
    <mergeCell ref="G60:I60"/>
    <mergeCell ref="G61:I61"/>
    <mergeCell ref="G62:I62"/>
    <mergeCell ref="K66:M66"/>
    <mergeCell ref="K65:L65"/>
    <mergeCell ref="K67:L67"/>
    <mergeCell ref="K69:L69"/>
    <mergeCell ref="G55:I55"/>
    <mergeCell ref="G56:I56"/>
    <mergeCell ref="G57:I57"/>
    <mergeCell ref="G59:I59"/>
    <mergeCell ref="G49:I49"/>
    <mergeCell ref="G50:I50"/>
    <mergeCell ref="G51:I51"/>
    <mergeCell ref="G52:I52"/>
    <mergeCell ref="G53:I53"/>
    <mergeCell ref="B67:D67"/>
    <mergeCell ref="B69:D69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C39:E39"/>
    <mergeCell ref="C40:E40"/>
    <mergeCell ref="C41:E41"/>
    <mergeCell ref="C42:E42"/>
    <mergeCell ref="C43:E43"/>
    <mergeCell ref="B61:E61"/>
    <mergeCell ref="B62:E62"/>
    <mergeCell ref="B63:E63"/>
    <mergeCell ref="G63:I63"/>
    <mergeCell ref="G64:I64"/>
    <mergeCell ref="B64:E64"/>
    <mergeCell ref="B66:E66"/>
    <mergeCell ref="C55:E55"/>
    <mergeCell ref="C56:E56"/>
    <mergeCell ref="C57:E57"/>
    <mergeCell ref="B59:E59"/>
    <mergeCell ref="B60:E60"/>
    <mergeCell ref="D5:E5"/>
    <mergeCell ref="D7:E7"/>
    <mergeCell ref="D8:E8"/>
    <mergeCell ref="D9:E9"/>
    <mergeCell ref="D10:E10"/>
    <mergeCell ref="C33:E33"/>
    <mergeCell ref="C34:E34"/>
    <mergeCell ref="C35:E35"/>
    <mergeCell ref="C36:E36"/>
    <mergeCell ref="C37:E37"/>
    <mergeCell ref="C38:E38"/>
    <mergeCell ref="C46:E46"/>
    <mergeCell ref="C47:E47"/>
    <mergeCell ref="C48:E48"/>
    <mergeCell ref="C49:E49"/>
    <mergeCell ref="C44:E44"/>
    <mergeCell ref="B65:D65"/>
    <mergeCell ref="G46:I46"/>
    <mergeCell ref="G47:I47"/>
    <mergeCell ref="G48:I48"/>
    <mergeCell ref="C50:E50"/>
    <mergeCell ref="C51:E51"/>
    <mergeCell ref="C52:E52"/>
    <mergeCell ref="C53:E53"/>
    <mergeCell ref="C54:E54"/>
    <mergeCell ref="K38:M38"/>
    <mergeCell ref="K39:M39"/>
    <mergeCell ref="K40:M40"/>
    <mergeCell ref="G54:I54"/>
    <mergeCell ref="K41:M41"/>
    <mergeCell ref="K42:M42"/>
    <mergeCell ref="K43:M43"/>
    <mergeCell ref="K44:M44"/>
    <mergeCell ref="K34:M34"/>
    <mergeCell ref="K35:M35"/>
    <mergeCell ref="K36:M36"/>
    <mergeCell ref="K37:M37"/>
    <mergeCell ref="A1:A2"/>
    <mergeCell ref="B1:E1"/>
    <mergeCell ref="G1:I1"/>
    <mergeCell ref="K1:M1"/>
    <mergeCell ref="K33:M33"/>
    <mergeCell ref="B3:D3"/>
    <mergeCell ref="G3:H3"/>
  </mergeCells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Biswas</dc:creator>
  <cp:lastModifiedBy>Daniel Biswas</cp:lastModifiedBy>
  <dcterms:created xsi:type="dcterms:W3CDTF">2026-03-31T01:56:35Z</dcterms:created>
  <dcterms:modified xsi:type="dcterms:W3CDTF">2026-04-21T07:39:40Z</dcterms:modified>
</cp:coreProperties>
</file>
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iswas/Desktop/Documents/University/Year 5/Semester 1/AMME4112/Code/"/>
    </mc:Choice>
  </mc:AlternateContent>
  <xr:revisionPtr revIDLastSave="0" documentId="13_ncr:1_{A2BD9A6D-4DEA-504C-9F59-5EA9C97352DE}" xr6:coauthVersionLast="47" xr6:coauthVersionMax="47" xr10:uidLastSave="{00000000-0000-0000-0000-000000000000}"/>
  <bookViews>
    <workbookView xWindow="-10500" yWindow="-28200" windowWidth="51200" windowHeight="28200" xr2:uid="{49DEC02E-5D37-064F-A7E8-1E1DC7B5F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8" i="1"/>
  <c r="I49" i="1"/>
  <c r="I50" i="1"/>
  <c r="I51" i="1"/>
  <c r="I52" i="1"/>
  <c r="I53" i="1"/>
  <c r="I54" i="1"/>
  <c r="I55" i="1"/>
  <c r="I56" i="1"/>
  <c r="I57" i="1"/>
  <c r="I44" i="1"/>
  <c r="I43" i="1"/>
  <c r="I42" i="1"/>
  <c r="I41" i="1"/>
  <c r="I40" i="1"/>
  <c r="I39" i="1"/>
  <c r="I38" i="1"/>
  <c r="I36" i="1"/>
  <c r="I35" i="1"/>
  <c r="I34" i="1"/>
  <c r="F47" i="1"/>
  <c r="F48" i="1"/>
  <c r="F49" i="1"/>
  <c r="F50" i="1"/>
  <c r="F51" i="1"/>
  <c r="F52" i="1"/>
  <c r="F53" i="1"/>
  <c r="F54" i="1"/>
  <c r="F55" i="1"/>
  <c r="F56" i="1"/>
  <c r="F57" i="1"/>
  <c r="F34" i="1"/>
  <c r="F35" i="1"/>
  <c r="F36" i="1"/>
  <c r="F37" i="1"/>
  <c r="F38" i="1"/>
  <c r="F39" i="1"/>
  <c r="F40" i="1"/>
  <c r="F41" i="1"/>
  <c r="F42" i="1"/>
  <c r="F43" i="1"/>
  <c r="F44" i="1"/>
  <c r="D68" i="1"/>
  <c r="D67" i="1"/>
  <c r="B66" i="1"/>
  <c r="D65" i="1"/>
  <c r="B67" i="1" l="1"/>
  <c r="C68" i="1"/>
  <c r="B64" i="1"/>
  <c r="B65" i="1" s="1"/>
  <c r="B68" i="1" s="1"/>
  <c r="I63" i="1"/>
  <c r="I62" i="1"/>
  <c r="I61" i="1"/>
  <c r="I60" i="1"/>
  <c r="D27" i="1"/>
  <c r="D26" i="1"/>
  <c r="G26" i="1" s="1"/>
  <c r="J26" i="1" s="1"/>
  <c r="D25" i="1"/>
  <c r="D24" i="1"/>
  <c r="D23" i="1"/>
  <c r="D22" i="1"/>
  <c r="G22" i="1" s="1"/>
  <c r="J22" i="1" s="1"/>
  <c r="D21" i="1"/>
  <c r="D20" i="1"/>
  <c r="G20" i="1" s="1"/>
  <c r="J20" i="1" s="1"/>
  <c r="G23" i="1"/>
  <c r="J23" i="1" s="1"/>
  <c r="D19" i="1"/>
  <c r="G19" i="1" s="1"/>
  <c r="J19" i="1" s="1"/>
  <c r="D18" i="1"/>
  <c r="C27" i="1"/>
  <c r="C26" i="1"/>
  <c r="F26" i="1" s="1"/>
  <c r="I26" i="1" s="1"/>
  <c r="C25" i="1"/>
  <c r="F25" i="1" s="1"/>
  <c r="I25" i="1" s="1"/>
  <c r="C24" i="1"/>
  <c r="C23" i="1"/>
  <c r="F23" i="1"/>
  <c r="I23" i="1" s="1"/>
  <c r="C22" i="1"/>
  <c r="C21" i="1"/>
  <c r="C20" i="1"/>
  <c r="C19" i="1"/>
  <c r="C18" i="1"/>
  <c r="B27" i="1"/>
  <c r="F27" i="1" s="1"/>
  <c r="I27" i="1" s="1"/>
  <c r="B26" i="1"/>
  <c r="B25" i="1"/>
  <c r="G25" i="1" s="1"/>
  <c r="J25" i="1" s="1"/>
  <c r="B24" i="1"/>
  <c r="B23" i="1"/>
  <c r="B22" i="1"/>
  <c r="B21" i="1"/>
  <c r="B20" i="1"/>
  <c r="F20" i="1" s="1"/>
  <c r="I20" i="1" s="1"/>
  <c r="B19" i="1"/>
  <c r="B18" i="1"/>
  <c r="G18" i="1" s="1"/>
  <c r="J18" i="1" s="1"/>
  <c r="F46" i="1"/>
  <c r="I46" i="1" s="1"/>
  <c r="F33" i="1"/>
  <c r="I33" i="1" s="1"/>
  <c r="F4" i="1"/>
  <c r="I4" i="1" s="1"/>
  <c r="G4" i="1"/>
  <c r="J4" i="1" s="1"/>
  <c r="F5" i="1"/>
  <c r="I5" i="1" s="1"/>
  <c r="G5" i="1"/>
  <c r="J5" i="1" s="1"/>
  <c r="F7" i="1"/>
  <c r="I7" i="1" s="1"/>
  <c r="G7" i="1"/>
  <c r="J7" i="1" s="1"/>
  <c r="F8" i="1"/>
  <c r="I8" i="1" s="1"/>
  <c r="G8" i="1"/>
  <c r="J8" i="1" s="1"/>
  <c r="F9" i="1"/>
  <c r="I9" i="1" s="1"/>
  <c r="G9" i="1"/>
  <c r="J9" i="1" s="1"/>
  <c r="F10" i="1"/>
  <c r="I10" i="1" s="1"/>
  <c r="G10" i="1"/>
  <c r="J10" i="1" s="1"/>
  <c r="F12" i="1"/>
  <c r="I12" i="1" s="1"/>
  <c r="G12" i="1"/>
  <c r="J12" i="1" s="1"/>
  <c r="F13" i="1"/>
  <c r="I13" i="1" s="1"/>
  <c r="G13" i="1"/>
  <c r="J13" i="1" s="1"/>
  <c r="F14" i="1"/>
  <c r="I14" i="1" s="1"/>
  <c r="G14" i="1"/>
  <c r="J14" i="1" s="1"/>
  <c r="F15" i="1"/>
  <c r="I15" i="1" s="1"/>
  <c r="G15" i="1"/>
  <c r="J15" i="1" s="1"/>
  <c r="F16" i="1"/>
  <c r="I16" i="1" s="1"/>
  <c r="G16" i="1"/>
  <c r="J16" i="1" s="1"/>
  <c r="F17" i="1"/>
  <c r="I17" i="1" s="1"/>
  <c r="G17" i="1"/>
  <c r="J17" i="1" s="1"/>
  <c r="F18" i="1"/>
  <c r="I18" i="1" s="1"/>
  <c r="G21" i="1"/>
  <c r="J21" i="1" s="1"/>
  <c r="F22" i="1"/>
  <c r="I22" i="1" s="1"/>
  <c r="F24" i="1"/>
  <c r="I24" i="1" s="1"/>
  <c r="G24" i="1"/>
  <c r="J24" i="1" s="1"/>
  <c r="G27" i="1"/>
  <c r="J27" i="1" s="1"/>
  <c r="F28" i="1"/>
  <c r="I28" i="1" s="1"/>
  <c r="G28" i="1"/>
  <c r="J28" i="1" s="1"/>
  <c r="F29" i="1"/>
  <c r="I29" i="1" s="1"/>
  <c r="G29" i="1"/>
  <c r="J29" i="1" s="1"/>
  <c r="F30" i="1"/>
  <c r="I30" i="1" s="1"/>
  <c r="G30" i="1"/>
  <c r="J30" i="1" s="1"/>
  <c r="F31" i="1"/>
  <c r="I31" i="1" s="1"/>
  <c r="G31" i="1"/>
  <c r="J31" i="1" s="1"/>
  <c r="G3" i="1"/>
  <c r="J3" i="1" s="1"/>
  <c r="F3" i="1"/>
  <c r="I3" i="1" s="1"/>
  <c r="F21" i="1" l="1"/>
  <c r="I21" i="1" s="1"/>
  <c r="F19" i="1"/>
  <c r="I19" i="1" s="1"/>
  <c r="G68" i="1"/>
  <c r="J68" i="1" s="1"/>
  <c r="I64" i="1"/>
  <c r="G67" i="1"/>
  <c r="J67" i="1" s="1"/>
  <c r="F68" i="1"/>
  <c r="I68" i="1" s="1"/>
  <c r="I66" i="1"/>
  <c r="G65" i="1" l="1"/>
  <c r="J65" i="1" s="1"/>
</calcChain>
</file>

<file path=xl/sharedStrings.xml><?xml version="1.0" encoding="utf-8"?>
<sst xmlns="http://schemas.openxmlformats.org/spreadsheetml/2006/main" count="74" uniqueCount="70">
  <si>
    <t>FPGA Implementation</t>
  </si>
  <si>
    <t>Standard</t>
  </si>
  <si>
    <t>Bit Manipulation Power</t>
  </si>
  <si>
    <t>Bit Manipulation Fast</t>
  </si>
  <si>
    <t>Metric</t>
  </si>
  <si>
    <t>Logic Utilisation (ALM's)</t>
  </si>
  <si>
    <t>Total Registers</t>
  </si>
  <si>
    <t>Total DSP Blocks</t>
  </si>
  <si>
    <t>Worst Case Setup Slack (ns)</t>
  </si>
  <si>
    <t>Theoretical Fmax (MHz)</t>
  </si>
  <si>
    <t>Programmed Clock Frequency (MHz)</t>
  </si>
  <si>
    <t>Total Block Memory (Bits)</t>
  </si>
  <si>
    <t>Total Thermal Power Dissipation (mW)</t>
  </si>
  <si>
    <t>Core Dynamic Thermal Power Dissipation (mW)</t>
  </si>
  <si>
    <t>Core Static Thermal Power Dissipation (mW)</t>
  </si>
  <si>
    <t>I/O Thermal Power Dissipation (mW)</t>
  </si>
  <si>
    <t>Top Level Block Thermal Dynamic Power (mW)</t>
  </si>
  <si>
    <t>Top Level Total Thermal Power (mW)</t>
  </si>
  <si>
    <t>Low Pass Filter Total Thermal Power (mW)</t>
  </si>
  <si>
    <t>Low Pass Filter Block Thermal Dynamic Power (mW)</t>
  </si>
  <si>
    <t>EPI Compiler Total Thermal Power (mW)</t>
  </si>
  <si>
    <t>EPI Compiler Block Thermal Dynamic Power (mW)</t>
  </si>
  <si>
    <t>Shared Frame Storage Total Thermal Power (mW)</t>
  </si>
  <si>
    <t>Shared Frame Storage Block Thermal Dynamic Power (mW)</t>
  </si>
  <si>
    <t>Confidence Computer Total Thermal Power (mW)</t>
  </si>
  <si>
    <t>Confidence Computer Block Thermal Dynamic Power (mW)</t>
  </si>
  <si>
    <t>Disparity Estimator Block Thermal Dynamic Power (mW)</t>
  </si>
  <si>
    <t>Fused Aligned Output Total Thermal Power (mW)</t>
  </si>
  <si>
    <t>Fused Aligned Output Block Thermal Dynamic Power (mW)</t>
  </si>
  <si>
    <t>Altshift Taps Total Thermal Power (mW)</t>
  </si>
  <si>
    <t>Altshift Taps Block Thermal Dynamic Power (mW)</t>
  </si>
  <si>
    <t>Disparity Estimator Total Thermal Power (mW)</t>
  </si>
  <si>
    <t>Confidence MSE</t>
  </si>
  <si>
    <t>Confidence Mean Absolute Error</t>
  </si>
  <si>
    <t>Confidence Median Absolute Error</t>
  </si>
  <si>
    <t>Confidence Median Error (FPGA - Python)</t>
  </si>
  <si>
    <t>Confidence Minimum Error (FPGA - Python)</t>
  </si>
  <si>
    <t>Confidence Maximum Error (FPGA - Python)</t>
  </si>
  <si>
    <t>Confidence Mean Bit Correctness (Out Of 8)</t>
  </si>
  <si>
    <t>Confidence Median Bit Correctness (Out Of 8)</t>
  </si>
  <si>
    <t>Confidence Best Bit Correctness (Out Of 8)</t>
  </si>
  <si>
    <t>Confidence Worst Bit Correctness (Out Of 8)</t>
  </si>
  <si>
    <t>Confidence Exact Match Pixels (Out Of 14400)</t>
  </si>
  <si>
    <t>Confidence Exact Match Fraction</t>
  </si>
  <si>
    <t>Disparity MSE</t>
  </si>
  <si>
    <t>Disparity Mean Absolute Error</t>
  </si>
  <si>
    <t>Disparity Median Absolute Error</t>
  </si>
  <si>
    <t>Disparity Median Error (FPGA - Python)</t>
  </si>
  <si>
    <t>Disparity Minimum Error (FPGA - Python)</t>
  </si>
  <si>
    <t>Disparity Maximum Error (FPGA - Python)</t>
  </si>
  <si>
    <t>Disparity Mean Bit Correctness (Out Of 8)</t>
  </si>
  <si>
    <t>Disparity Median Bit Correctness (Out Of 8)</t>
  </si>
  <si>
    <t>Disparity Best Bit Correctness (Out Of 8)</t>
  </si>
  <si>
    <t>Disparity Worst Bit Correctness (Out Of 8)</t>
  </si>
  <si>
    <t>Disparity Exact Match Pixels (Out Of 14400)</t>
  </si>
  <si>
    <t>Disparity Exact Match Fraction</t>
  </si>
  <si>
    <t>inf</t>
  </si>
  <si>
    <t>Change From Standard</t>
  </si>
  <si>
    <t>% Change From Standard</t>
  </si>
  <si>
    <t>First Pixel In</t>
  </si>
  <si>
    <t>Last Pixel In</t>
  </si>
  <si>
    <t>First Pixel Out</t>
  </si>
  <si>
    <t>Last Pixel Out</t>
  </si>
  <si>
    <t>Input To Output Programmed Latency (Clock Cycles)</t>
  </si>
  <si>
    <t>Input To Output Programmed Latency (ms)</t>
  </si>
  <si>
    <t>Computation Programmed Latency (Clock Cycles)</t>
  </si>
  <si>
    <t>Computation Programmed Latency (us)</t>
  </si>
  <si>
    <t>Programmed Energy Per Frame (uJ)</t>
  </si>
  <si>
    <t>17x64x64</t>
  </si>
  <si>
    <t>Light Field Dimensions (Sub-Apertures, Length, Width)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</si>
</sst>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9" fontId="0" fillId="0" borderId="0" xfId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/>
    </xf>
    <xf numFmtId="9" fontId="0" fillId="0" borderId="0" xfId="1" applyFont="1" applyFill="1" applyAlignment="1">
      <alignment horizont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85A3-2BCA-FA4F-9A9B-A0D6975F9A68}">
  <dimension ref="A1:K69"/>
  <sheetViews>
    <sheetView tabSelected="1"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9" sqref="M19"/>
    </sheetView>
  </sheetViews>
  <sheetFormatPr baseColWidth="10" defaultColWidth="15.83203125" defaultRowHeight="16" x14ac:dyDescent="0.2"/>
  <cols>
    <col min="1" max="1" width="50.83203125" style="3" customWidth="1"/>
    <col min="2" max="4" width="25.83203125" style="1" customWidth="1"/>
    <col min="6" max="7" width="25.83203125" style="1" customWidth="1"/>
    <col min="9" max="10" width="25.83203125" style="1" customWidth="1"/>
  </cols>
  <sheetData>
    <row r="1" spans="1:11" x14ac:dyDescent="0.2">
      <c r="A1" s="10" t="s">
        <v>4</v>
      </c>
      <c r="B1" s="10" t="s">
        <v>0</v>
      </c>
      <c r="C1" s="10"/>
      <c r="D1" s="10"/>
      <c r="E1" s="6"/>
      <c r="F1" s="9" t="s">
        <v>57</v>
      </c>
      <c r="G1" s="9"/>
      <c r="H1" s="6"/>
      <c r="I1" s="9" t="s">
        <v>58</v>
      </c>
      <c r="J1" s="9"/>
      <c r="K1" s="6"/>
    </row>
    <row r="2" spans="1:11" x14ac:dyDescent="0.2">
      <c r="A2" s="10"/>
      <c r="B2" s="2" t="s">
        <v>1</v>
      </c>
      <c r="C2" s="2" t="s">
        <v>2</v>
      </c>
      <c r="D2" s="2" t="s">
        <v>3</v>
      </c>
      <c r="E2" s="6"/>
      <c r="F2" s="2" t="s">
        <v>2</v>
      </c>
      <c r="G2" s="2" t="s">
        <v>3</v>
      </c>
      <c r="H2" s="6"/>
      <c r="I2" s="2" t="s">
        <v>2</v>
      </c>
      <c r="J2" s="2" t="s">
        <v>3</v>
      </c>
      <c r="K2" s="6"/>
    </row>
    <row r="3" spans="1:11" x14ac:dyDescent="0.2">
      <c r="A3" s="3" t="s">
        <v>10</v>
      </c>
      <c r="B3" s="1">
        <v>75</v>
      </c>
      <c r="C3" s="1">
        <v>75</v>
      </c>
      <c r="D3" s="1">
        <v>195</v>
      </c>
      <c r="E3" s="6"/>
      <c r="F3" s="1">
        <f>C3-B3</f>
        <v>0</v>
      </c>
      <c r="G3" s="1">
        <f>D3-B3</f>
        <v>120</v>
      </c>
      <c r="H3" s="6"/>
      <c r="I3" s="5">
        <f>F3/B3</f>
        <v>0</v>
      </c>
      <c r="J3" s="5">
        <f>G3/B3</f>
        <v>1.6</v>
      </c>
      <c r="K3" s="6"/>
    </row>
    <row r="4" spans="1:11" x14ac:dyDescent="0.2">
      <c r="A4" s="3" t="s">
        <v>8</v>
      </c>
      <c r="B4" s="1">
        <v>0.53900000000000003</v>
      </c>
      <c r="C4" s="1">
        <v>4.9029999999999996</v>
      </c>
      <c r="D4" s="1">
        <v>0</v>
      </c>
      <c r="E4" s="6"/>
      <c r="F4" s="1">
        <f t="shared" ref="F4:F5" si="0">C4-B4</f>
        <v>4.3639999999999999</v>
      </c>
      <c r="G4" s="1">
        <f t="shared" ref="G4:G5" si="1">D4-B4</f>
        <v>-0.53900000000000003</v>
      </c>
      <c r="H4" s="6"/>
      <c r="I4" s="5">
        <f t="shared" ref="I4:I5" si="2">F4/B4</f>
        <v>8.0964749536178093</v>
      </c>
      <c r="J4" s="5">
        <f t="shared" ref="J4:J5" si="3">G4/B4</f>
        <v>-1</v>
      </c>
      <c r="K4" s="6"/>
    </row>
    <row r="5" spans="1:11" x14ac:dyDescent="0.2">
      <c r="A5" s="3" t="s">
        <v>9</v>
      </c>
      <c r="B5" s="1">
        <v>78.16</v>
      </c>
      <c r="C5" s="1">
        <v>118.62</v>
      </c>
      <c r="D5" s="1">
        <v>195.01</v>
      </c>
      <c r="E5" s="6"/>
      <c r="F5" s="1">
        <f t="shared" si="0"/>
        <v>40.460000000000008</v>
      </c>
      <c r="G5" s="1">
        <f t="shared" si="1"/>
        <v>116.85</v>
      </c>
      <c r="H5" s="6"/>
      <c r="I5" s="5">
        <f t="shared" si="2"/>
        <v>0.51765609007164803</v>
      </c>
      <c r="J5" s="5">
        <f t="shared" si="3"/>
        <v>1.4950102354145343</v>
      </c>
      <c r="K5" s="6"/>
    </row>
    <row r="6" spans="1:11" x14ac:dyDescent="0.2">
      <c r="A6" s="7"/>
      <c r="B6" s="8"/>
      <c r="C6" s="8"/>
      <c r="D6" s="8"/>
      <c r="E6" s="6"/>
      <c r="F6" s="8"/>
      <c r="G6" s="8"/>
      <c r="H6" s="6"/>
      <c r="I6" s="8"/>
      <c r="J6" s="8"/>
      <c r="K6" s="6"/>
    </row>
    <row r="7" spans="1:11" x14ac:dyDescent="0.2">
      <c r="A7" s="4" t="s">
        <v>5</v>
      </c>
      <c r="B7" s="1">
        <v>27427</v>
      </c>
      <c r="C7" s="1">
        <v>27017</v>
      </c>
      <c r="D7" s="1">
        <v>27138</v>
      </c>
      <c r="E7" s="6"/>
      <c r="F7" s="1">
        <f>C7-B7</f>
        <v>-410</v>
      </c>
      <c r="G7" s="1">
        <f>D7-B7</f>
        <v>-289</v>
      </c>
      <c r="H7" s="6"/>
      <c r="I7" s="5">
        <f>F7/B7</f>
        <v>-1.4948773106792577E-2</v>
      </c>
      <c r="J7" s="5">
        <f>G7/B7</f>
        <v>-1.0537062019178181E-2</v>
      </c>
      <c r="K7" s="6"/>
    </row>
    <row r="8" spans="1:11" x14ac:dyDescent="0.2">
      <c r="A8" s="3" t="s">
        <v>6</v>
      </c>
      <c r="B8" s="1">
        <v>64117</v>
      </c>
      <c r="C8" s="1">
        <v>65117</v>
      </c>
      <c r="D8" s="1">
        <v>73446</v>
      </c>
      <c r="E8" s="6"/>
      <c r="F8" s="1">
        <f>C8-B8</f>
        <v>1000</v>
      </c>
      <c r="G8" s="1">
        <f>D8-B8</f>
        <v>9329</v>
      </c>
      <c r="H8" s="6"/>
      <c r="I8" s="5">
        <f>F8/B8</f>
        <v>1.5596487670976496E-2</v>
      </c>
      <c r="J8" s="5">
        <f>G8/B8</f>
        <v>0.14549963348253972</v>
      </c>
      <c r="K8" s="6"/>
    </row>
    <row r="9" spans="1:11" x14ac:dyDescent="0.2">
      <c r="A9" s="3" t="s">
        <v>11</v>
      </c>
      <c r="B9" s="1">
        <v>2409775</v>
      </c>
      <c r="C9" s="1">
        <v>2409775</v>
      </c>
      <c r="D9" s="1">
        <v>2409770</v>
      </c>
      <c r="E9" s="6"/>
      <c r="F9" s="1">
        <f>C9-B9</f>
        <v>0</v>
      </c>
      <c r="G9" s="1">
        <f>D9-B9</f>
        <v>-5</v>
      </c>
      <c r="H9" s="6"/>
      <c r="I9" s="5">
        <f>F9/B9</f>
        <v>0</v>
      </c>
      <c r="J9" s="5">
        <f>G9/B9</f>
        <v>-2.0748825097778839E-6</v>
      </c>
      <c r="K9" s="6"/>
    </row>
    <row r="10" spans="1:11" x14ac:dyDescent="0.2">
      <c r="A10" s="3" t="s">
        <v>7</v>
      </c>
      <c r="B10" s="1">
        <v>36</v>
      </c>
      <c r="C10" s="1">
        <v>36</v>
      </c>
      <c r="D10" s="1">
        <v>36</v>
      </c>
      <c r="E10" s="6"/>
      <c r="F10" s="1">
        <f>C10-B10</f>
        <v>0</v>
      </c>
      <c r="G10" s="1">
        <f>D10-B10</f>
        <v>0</v>
      </c>
      <c r="H10" s="6"/>
      <c r="I10" s="5">
        <f>F10/B10</f>
        <v>0</v>
      </c>
      <c r="J10" s="5">
        <f>G10/B10</f>
        <v>0</v>
      </c>
      <c r="K10" s="6"/>
    </row>
    <row r="11" spans="1:11" x14ac:dyDescent="0.2">
      <c r="A11" s="7"/>
      <c r="B11" s="8"/>
      <c r="C11" s="8"/>
      <c r="D11" s="8"/>
      <c r="E11" s="6"/>
      <c r="F11" s="8"/>
      <c r="G11" s="8"/>
      <c r="H11" s="6"/>
      <c r="I11" s="8"/>
      <c r="J11" s="8"/>
      <c r="K11" s="6"/>
    </row>
    <row r="12" spans="1:11" x14ac:dyDescent="0.2">
      <c r="A12" s="3" t="s">
        <v>12</v>
      </c>
      <c r="B12" s="1">
        <v>968.85</v>
      </c>
      <c r="C12" s="1">
        <v>960.68</v>
      </c>
      <c r="D12" s="1">
        <v>1925.9</v>
      </c>
      <c r="E12" s="6"/>
      <c r="F12" s="1">
        <f t="shared" ref="F12:F31" si="4">C12-B12</f>
        <v>-8.1700000000000728</v>
      </c>
      <c r="G12" s="1">
        <f t="shared" ref="G12:G31" si="5">D12-B12</f>
        <v>957.05000000000007</v>
      </c>
      <c r="H12" s="6"/>
      <c r="I12" s="5">
        <f t="shared" ref="I12:I31" si="6">F12/B12</f>
        <v>-8.4326779171183079E-3</v>
      </c>
      <c r="J12" s="5">
        <f t="shared" ref="J12:J31" si="7">G12/B12</f>
        <v>0.98782061206585137</v>
      </c>
      <c r="K12" s="6"/>
    </row>
    <row r="13" spans="1:11" x14ac:dyDescent="0.2">
      <c r="A13" s="3" t="s">
        <v>13</v>
      </c>
      <c r="B13" s="1">
        <v>537.65</v>
      </c>
      <c r="C13" s="1">
        <v>529.26</v>
      </c>
      <c r="D13" s="1">
        <v>1484.97</v>
      </c>
      <c r="E13" s="6"/>
      <c r="F13" s="1">
        <f t="shared" si="4"/>
        <v>-8.3899999999999864</v>
      </c>
      <c r="G13" s="1">
        <f t="shared" si="5"/>
        <v>947.32</v>
      </c>
      <c r="H13" s="6"/>
      <c r="I13" s="5">
        <f t="shared" si="6"/>
        <v>-1.5604947456523736E-2</v>
      </c>
      <c r="J13" s="5">
        <f t="shared" si="7"/>
        <v>1.761964103041012</v>
      </c>
      <c r="K13" s="6"/>
    </row>
    <row r="14" spans="1:11" x14ac:dyDescent="0.2">
      <c r="A14" s="3" t="s">
        <v>14</v>
      </c>
      <c r="B14" s="1">
        <v>418.44</v>
      </c>
      <c r="C14" s="1">
        <v>418.39</v>
      </c>
      <c r="D14" s="1">
        <v>424.64</v>
      </c>
      <c r="E14" s="6"/>
      <c r="F14" s="1">
        <f t="shared" si="4"/>
        <v>-5.0000000000011369E-2</v>
      </c>
      <c r="G14" s="1">
        <f t="shared" si="5"/>
        <v>6.1999999999999886</v>
      </c>
      <c r="H14" s="6"/>
      <c r="I14" s="5">
        <f t="shared" si="6"/>
        <v>-1.1949144441260723E-4</v>
      </c>
      <c r="J14" s="5">
        <f t="shared" si="7"/>
        <v>1.48169391071599E-2</v>
      </c>
      <c r="K14" s="6"/>
    </row>
    <row r="15" spans="1:11" x14ac:dyDescent="0.2">
      <c r="A15" s="3" t="s">
        <v>15</v>
      </c>
      <c r="B15" s="1">
        <v>12.76</v>
      </c>
      <c r="C15" s="1">
        <v>13.03</v>
      </c>
      <c r="D15" s="1">
        <v>16.28</v>
      </c>
      <c r="E15" s="6"/>
      <c r="F15" s="1">
        <f t="shared" si="4"/>
        <v>0.26999999999999957</v>
      </c>
      <c r="G15" s="1">
        <f t="shared" si="5"/>
        <v>3.5200000000000014</v>
      </c>
      <c r="H15" s="6"/>
      <c r="I15" s="5">
        <f t="shared" si="6"/>
        <v>2.1159874608150438E-2</v>
      </c>
      <c r="J15" s="5">
        <f t="shared" si="7"/>
        <v>0.27586206896551735</v>
      </c>
      <c r="K15" s="6"/>
    </row>
    <row r="16" spans="1:11" x14ac:dyDescent="0.2">
      <c r="A16" s="3" t="s">
        <v>17</v>
      </c>
      <c r="B16" s="1">
        <v>542.41</v>
      </c>
      <c r="C16" s="1">
        <v>534.29</v>
      </c>
      <c r="D16" s="1">
        <v>1493.26</v>
      </c>
      <c r="E16" s="6"/>
      <c r="F16" s="1">
        <f t="shared" si="4"/>
        <v>-8.1200000000000045</v>
      </c>
      <c r="G16" s="1">
        <f t="shared" si="5"/>
        <v>950.85</v>
      </c>
      <c r="H16" s="6"/>
      <c r="I16" s="5">
        <f t="shared" si="6"/>
        <v>-1.4970225475194051E-2</v>
      </c>
      <c r="J16" s="5">
        <f t="shared" si="7"/>
        <v>1.7530097158975684</v>
      </c>
      <c r="K16" s="6"/>
    </row>
    <row r="17" spans="1:11" x14ac:dyDescent="0.2">
      <c r="A17" s="3" t="s">
        <v>16</v>
      </c>
      <c r="B17" s="1">
        <v>327.73</v>
      </c>
      <c r="C17" s="1">
        <v>328.94</v>
      </c>
      <c r="D17" s="1">
        <v>867.61</v>
      </c>
      <c r="E17" s="6"/>
      <c r="F17" s="1">
        <f t="shared" si="4"/>
        <v>1.2099999999999795</v>
      </c>
      <c r="G17" s="1">
        <f t="shared" si="5"/>
        <v>539.88</v>
      </c>
      <c r="H17" s="6"/>
      <c r="I17" s="5">
        <f t="shared" si="6"/>
        <v>3.6920635889298491E-3</v>
      </c>
      <c r="J17" s="5">
        <f t="shared" si="7"/>
        <v>1.6473316449516369</v>
      </c>
      <c r="K17" s="6"/>
    </row>
    <row r="18" spans="1:11" x14ac:dyDescent="0.2">
      <c r="A18" s="3" t="s">
        <v>18</v>
      </c>
      <c r="B18" s="1">
        <f>6.98+9.44+7.04</f>
        <v>23.46</v>
      </c>
      <c r="C18" s="1">
        <f>7.17+11.85+7.08</f>
        <v>26.1</v>
      </c>
      <c r="D18" s="1">
        <f>12.13+18.02+11.28</f>
        <v>41.43</v>
      </c>
      <c r="E18" s="6"/>
      <c r="F18" s="1">
        <f t="shared" si="4"/>
        <v>2.6400000000000006</v>
      </c>
      <c r="G18" s="1">
        <f t="shared" si="5"/>
        <v>17.97</v>
      </c>
      <c r="H18" s="6"/>
      <c r="I18" s="5">
        <f t="shared" si="6"/>
        <v>0.11253196930946294</v>
      </c>
      <c r="J18" s="5">
        <f t="shared" si="7"/>
        <v>0.76598465473145771</v>
      </c>
      <c r="K18" s="6"/>
    </row>
    <row r="19" spans="1:11" x14ac:dyDescent="0.2">
      <c r="A19" s="3" t="s">
        <v>19</v>
      </c>
      <c r="B19" s="1">
        <f>6.58+6.49+6.67</f>
        <v>19.740000000000002</v>
      </c>
      <c r="C19" s="1">
        <f>6.83+6.64+6.81</f>
        <v>20.279999999999998</v>
      </c>
      <c r="D19" s="1">
        <f>10.56+9.68+9.82</f>
        <v>30.060000000000002</v>
      </c>
      <c r="E19" s="6"/>
      <c r="F19" s="1">
        <f t="shared" si="4"/>
        <v>0.53999999999999559</v>
      </c>
      <c r="G19" s="1">
        <f t="shared" si="5"/>
        <v>10.32</v>
      </c>
      <c r="H19" s="6"/>
      <c r="I19" s="5">
        <f t="shared" si="6"/>
        <v>2.7355623100303726E-2</v>
      </c>
      <c r="J19" s="5">
        <f t="shared" si="7"/>
        <v>0.52279635258358659</v>
      </c>
      <c r="K19" s="6"/>
    </row>
    <row r="20" spans="1:11" x14ac:dyDescent="0.2">
      <c r="A20" s="3" t="s">
        <v>22</v>
      </c>
      <c r="B20" s="1">
        <f>42.95+42.75+42.84</f>
        <v>128.54000000000002</v>
      </c>
      <c r="C20" s="1">
        <f>43+41.76+41.97</f>
        <v>126.72999999999999</v>
      </c>
      <c r="D20" s="1">
        <f>50.48+50.3+50.54</f>
        <v>151.32</v>
      </c>
      <c r="E20" s="6"/>
      <c r="F20" s="1">
        <f t="shared" si="4"/>
        <v>-1.8100000000000307</v>
      </c>
      <c r="G20" s="1">
        <f t="shared" si="5"/>
        <v>22.779999999999973</v>
      </c>
      <c r="H20" s="6"/>
      <c r="I20" s="5">
        <f t="shared" si="6"/>
        <v>-1.4081219853742262E-2</v>
      </c>
      <c r="J20" s="5">
        <f t="shared" si="7"/>
        <v>0.17722109849074194</v>
      </c>
      <c r="K20" s="6"/>
    </row>
    <row r="21" spans="1:11" x14ac:dyDescent="0.2">
      <c r="A21" s="3" t="s">
        <v>23</v>
      </c>
      <c r="B21" s="1">
        <f>36.85+36.9+36.87</f>
        <v>110.62</v>
      </c>
      <c r="C21" s="1">
        <f>37.35+36.83+36.8</f>
        <v>110.98</v>
      </c>
      <c r="D21" s="1">
        <f>39.44+39.96+39.59</f>
        <v>118.99000000000001</v>
      </c>
      <c r="E21" s="6"/>
      <c r="F21" s="1">
        <f t="shared" si="4"/>
        <v>0.35999999999999943</v>
      </c>
      <c r="G21" s="1">
        <f t="shared" si="5"/>
        <v>8.3700000000000045</v>
      </c>
      <c r="H21" s="6"/>
      <c r="I21" s="5">
        <f t="shared" si="6"/>
        <v>3.2543843789549758E-3</v>
      </c>
      <c r="J21" s="5">
        <f t="shared" si="7"/>
        <v>7.5664436810703353E-2</v>
      </c>
      <c r="K21" s="6"/>
    </row>
    <row r="22" spans="1:11" x14ac:dyDescent="0.2">
      <c r="A22" s="3" t="s">
        <v>20</v>
      </c>
      <c r="B22" s="1">
        <f>13+12.16+12.79</f>
        <v>37.950000000000003</v>
      </c>
      <c r="C22" s="1">
        <f>13.55+12.24+12.4</f>
        <v>38.19</v>
      </c>
      <c r="D22" s="1">
        <f>93.28+90.04+90.24</f>
        <v>273.56</v>
      </c>
      <c r="E22" s="6"/>
      <c r="F22" s="1">
        <f t="shared" si="4"/>
        <v>0.23999999999999488</v>
      </c>
      <c r="G22" s="1">
        <f t="shared" si="5"/>
        <v>235.61</v>
      </c>
      <c r="H22" s="6"/>
      <c r="I22" s="5">
        <f t="shared" si="6"/>
        <v>6.3241106719366235E-3</v>
      </c>
      <c r="J22" s="5">
        <f t="shared" si="7"/>
        <v>6.2084321475625819</v>
      </c>
      <c r="K22" s="6"/>
    </row>
    <row r="23" spans="1:11" x14ac:dyDescent="0.2">
      <c r="A23" s="3" t="s">
        <v>21</v>
      </c>
      <c r="B23" s="1">
        <f>11.93+11.52+11.65</f>
        <v>35.1</v>
      </c>
      <c r="C23" s="1">
        <f>11.8+11.49+11.67</f>
        <v>34.96</v>
      </c>
      <c r="D23" s="1">
        <f>87.08+85.94+86.48</f>
        <v>259.5</v>
      </c>
      <c r="E23" s="6"/>
      <c r="F23" s="1">
        <f t="shared" si="4"/>
        <v>-0.14000000000000057</v>
      </c>
      <c r="G23" s="1">
        <f t="shared" si="5"/>
        <v>224.4</v>
      </c>
      <c r="H23" s="6"/>
      <c r="I23" s="5">
        <f t="shared" si="6"/>
        <v>-3.9886039886040045E-3</v>
      </c>
      <c r="J23" s="5">
        <f t="shared" si="7"/>
        <v>6.3931623931623927</v>
      </c>
      <c r="K23" s="6"/>
    </row>
    <row r="24" spans="1:11" x14ac:dyDescent="0.2">
      <c r="A24" s="3" t="s">
        <v>24</v>
      </c>
      <c r="B24" s="1">
        <f>0.66+1.03+1.02</f>
        <v>2.71</v>
      </c>
      <c r="C24" s="1">
        <f>0.59+0.77+0.65</f>
        <v>2.0099999999999998</v>
      </c>
      <c r="D24" s="1">
        <f>2.82+2.68+2.66</f>
        <v>8.16</v>
      </c>
      <c r="E24" s="6"/>
      <c r="F24" s="1">
        <f t="shared" si="4"/>
        <v>-0.70000000000000018</v>
      </c>
      <c r="G24" s="1">
        <f t="shared" si="5"/>
        <v>5.45</v>
      </c>
      <c r="H24" s="6"/>
      <c r="I24" s="5">
        <f t="shared" si="6"/>
        <v>-0.25830258302583031</v>
      </c>
      <c r="J24" s="5">
        <f t="shared" si="7"/>
        <v>2.0110701107011071</v>
      </c>
      <c r="K24" s="6"/>
    </row>
    <row r="25" spans="1:11" x14ac:dyDescent="0.2">
      <c r="A25" s="3" t="s">
        <v>25</v>
      </c>
      <c r="B25" s="1">
        <f>0.29+0.39+0.41</f>
        <v>1.0899999999999999</v>
      </c>
      <c r="C25" s="1">
        <f>0.25+0.32+0.28</f>
        <v>0.85000000000000009</v>
      </c>
      <c r="D25" s="1">
        <f>1.07+1.06+1.1</f>
        <v>3.23</v>
      </c>
      <c r="E25" s="6"/>
      <c r="F25" s="1">
        <f t="shared" si="4"/>
        <v>-0.23999999999999977</v>
      </c>
      <c r="G25" s="1">
        <f t="shared" si="5"/>
        <v>2.14</v>
      </c>
      <c r="H25" s="6"/>
      <c r="I25" s="5">
        <f t="shared" si="6"/>
        <v>-0.22018348623853193</v>
      </c>
      <c r="J25" s="5">
        <f t="shared" si="7"/>
        <v>1.9633027522935784</v>
      </c>
      <c r="K25" s="6"/>
    </row>
    <row r="26" spans="1:11" x14ac:dyDescent="0.2">
      <c r="A26" s="3" t="s">
        <v>31</v>
      </c>
      <c r="B26" s="1">
        <f>60.27+56.28+58.26</f>
        <v>174.81</v>
      </c>
      <c r="C26" s="1">
        <f>59.8+54.9+55.46</f>
        <v>170.16</v>
      </c>
      <c r="D26" s="1">
        <f>191.3+173.17+179.43</f>
        <v>543.90000000000009</v>
      </c>
      <c r="E26" s="6"/>
      <c r="F26" s="1">
        <f t="shared" si="4"/>
        <v>-4.6500000000000057</v>
      </c>
      <c r="G26" s="1">
        <f t="shared" si="5"/>
        <v>369.09000000000009</v>
      </c>
      <c r="H26" s="6"/>
      <c r="I26" s="5">
        <f t="shared" si="6"/>
        <v>-2.6600308906813145E-2</v>
      </c>
      <c r="J26" s="5">
        <f t="shared" si="7"/>
        <v>2.1113780676162697</v>
      </c>
      <c r="K26" s="6"/>
    </row>
    <row r="27" spans="1:11" x14ac:dyDescent="0.2">
      <c r="A27" s="3" t="s">
        <v>26</v>
      </c>
      <c r="B27" s="1">
        <f>24.9+22.91+24.52</f>
        <v>72.33</v>
      </c>
      <c r="C27" s="1">
        <f>25.25+23.74+24.08</f>
        <v>73.069999999999993</v>
      </c>
      <c r="D27" s="1">
        <f>73.52+70.08+74.57</f>
        <v>218.17</v>
      </c>
      <c r="E27" s="6"/>
      <c r="F27" s="1">
        <f t="shared" si="4"/>
        <v>0.73999999999999488</v>
      </c>
      <c r="G27" s="1">
        <f t="shared" si="5"/>
        <v>145.83999999999997</v>
      </c>
      <c r="H27" s="6"/>
      <c r="I27" s="5">
        <f t="shared" si="6"/>
        <v>1.0230886215954582E-2</v>
      </c>
      <c r="J27" s="5">
        <f t="shared" si="7"/>
        <v>2.0163141158578735</v>
      </c>
      <c r="K27" s="6"/>
    </row>
    <row r="28" spans="1:11" x14ac:dyDescent="0.2">
      <c r="A28" s="3" t="s">
        <v>27</v>
      </c>
      <c r="B28" s="1">
        <v>9.3800000000000008</v>
      </c>
      <c r="C28" s="1">
        <v>8.4499999999999993</v>
      </c>
      <c r="D28" s="1">
        <v>25.22</v>
      </c>
      <c r="E28" s="6"/>
      <c r="F28" s="1">
        <f t="shared" si="4"/>
        <v>-0.93000000000000149</v>
      </c>
      <c r="G28" s="1">
        <f t="shared" si="5"/>
        <v>15.839999999999998</v>
      </c>
      <c r="H28" s="6"/>
      <c r="I28" s="5">
        <f t="shared" si="6"/>
        <v>-9.914712153518139E-2</v>
      </c>
      <c r="J28" s="5">
        <f t="shared" si="7"/>
        <v>1.6886993603411511</v>
      </c>
      <c r="K28" s="6"/>
    </row>
    <row r="29" spans="1:11" x14ac:dyDescent="0.2">
      <c r="A29" s="3" t="s">
        <v>28</v>
      </c>
      <c r="B29" s="1">
        <v>5.12</v>
      </c>
      <c r="C29" s="1">
        <v>5.0599999999999996</v>
      </c>
      <c r="D29" s="1">
        <v>15.73</v>
      </c>
      <c r="E29" s="6"/>
      <c r="F29" s="1">
        <f t="shared" si="4"/>
        <v>-6.0000000000000497E-2</v>
      </c>
      <c r="G29" s="1">
        <f t="shared" si="5"/>
        <v>10.61</v>
      </c>
      <c r="H29" s="6"/>
      <c r="I29" s="5">
        <f t="shared" si="6"/>
        <v>-1.1718750000000097E-2</v>
      </c>
      <c r="J29" s="5">
        <f t="shared" si="7"/>
        <v>2.072265625</v>
      </c>
      <c r="K29" s="6"/>
    </row>
    <row r="30" spans="1:11" x14ac:dyDescent="0.2">
      <c r="A30" s="3" t="s">
        <v>29</v>
      </c>
      <c r="B30" s="1">
        <v>111.74</v>
      </c>
      <c r="C30" s="1">
        <v>108.94</v>
      </c>
      <c r="D30" s="1">
        <v>311.08999999999997</v>
      </c>
      <c r="E30" s="6"/>
      <c r="F30" s="1">
        <f t="shared" si="4"/>
        <v>-2.7999999999999972</v>
      </c>
      <c r="G30" s="1">
        <f t="shared" si="5"/>
        <v>199.34999999999997</v>
      </c>
      <c r="H30" s="6"/>
      <c r="I30" s="5">
        <f t="shared" si="6"/>
        <v>-2.5058170753534968E-2</v>
      </c>
      <c r="J30" s="5">
        <f t="shared" si="7"/>
        <v>1.7840522641847143</v>
      </c>
      <c r="K30" s="6"/>
    </row>
    <row r="31" spans="1:11" x14ac:dyDescent="0.2">
      <c r="A31" s="3" t="s">
        <v>30</v>
      </c>
      <c r="B31" s="1">
        <v>81.13</v>
      </c>
      <c r="C31" s="1">
        <v>81.069999999999993</v>
      </c>
      <c r="D31" s="1">
        <v>214.81</v>
      </c>
      <c r="E31" s="6"/>
      <c r="F31" s="1">
        <f t="shared" si="4"/>
        <v>-6.0000000000002274E-2</v>
      </c>
      <c r="G31" s="1">
        <f t="shared" si="5"/>
        <v>133.68</v>
      </c>
      <c r="H31" s="6"/>
      <c r="I31" s="5">
        <f t="shared" si="6"/>
        <v>-7.3955380253916284E-4</v>
      </c>
      <c r="J31" s="5">
        <f t="shared" si="7"/>
        <v>1.6477258720571923</v>
      </c>
      <c r="K31" s="6"/>
    </row>
    <row r="32" spans="1:11" x14ac:dyDescent="0.2">
      <c r="A32" s="7"/>
      <c r="B32" s="8"/>
      <c r="C32" s="8"/>
      <c r="D32" s="8"/>
      <c r="E32" s="6"/>
      <c r="F32" s="8"/>
      <c r="G32" s="8"/>
      <c r="H32" s="6"/>
      <c r="I32" s="8"/>
      <c r="J32" s="8"/>
      <c r="K32" s="6"/>
    </row>
    <row r="33" spans="1:11" x14ac:dyDescent="0.2">
      <c r="A33" s="3" t="s">
        <v>32</v>
      </c>
      <c r="B33" s="1">
        <v>36.935268000000001</v>
      </c>
      <c r="C33" s="9">
        <v>35.655293</v>
      </c>
      <c r="D33" s="9"/>
      <c r="E33" s="6"/>
      <c r="F33" s="9">
        <f>C33-B33</f>
        <v>-1.2799750000000003</v>
      </c>
      <c r="G33" s="9"/>
      <c r="H33" s="6"/>
      <c r="I33" s="11">
        <f>F33/B33</f>
        <v>-3.4654547518106552E-2</v>
      </c>
      <c r="J33" s="11"/>
      <c r="K33" s="6"/>
    </row>
    <row r="34" spans="1:11" x14ac:dyDescent="0.2">
      <c r="A34" s="3" t="s">
        <v>33</v>
      </c>
      <c r="B34" s="1">
        <v>4.1183040000000002</v>
      </c>
      <c r="C34" s="9">
        <v>4.0647320000000002</v>
      </c>
      <c r="D34" s="9"/>
      <c r="E34" s="6"/>
      <c r="F34" s="9">
        <f t="shared" ref="F34:F44" si="8">C34-B34</f>
        <v>-5.3571999999999953E-2</v>
      </c>
      <c r="G34" s="9"/>
      <c r="H34" s="6"/>
      <c r="I34" s="11">
        <f t="shared" ref="I34:I44" si="9">F34/B34</f>
        <v>-1.300826748098245E-2</v>
      </c>
      <c r="J34" s="11"/>
      <c r="K34" s="6"/>
    </row>
    <row r="35" spans="1:11" x14ac:dyDescent="0.2">
      <c r="A35" s="3" t="s">
        <v>34</v>
      </c>
      <c r="B35" s="1">
        <v>2</v>
      </c>
      <c r="C35" s="9">
        <v>2</v>
      </c>
      <c r="D35" s="9"/>
      <c r="E35" s="6"/>
      <c r="F35" s="9">
        <f t="shared" si="8"/>
        <v>0</v>
      </c>
      <c r="G35" s="9"/>
      <c r="H35" s="6"/>
      <c r="I35" s="11">
        <f t="shared" si="9"/>
        <v>0</v>
      </c>
      <c r="J35" s="11"/>
      <c r="K35" s="6"/>
    </row>
    <row r="36" spans="1:11" x14ac:dyDescent="0.2">
      <c r="A36" s="3" t="s">
        <v>35</v>
      </c>
      <c r="B36" s="1">
        <v>2</v>
      </c>
      <c r="C36" s="9">
        <v>2</v>
      </c>
      <c r="D36" s="9"/>
      <c r="E36" s="6"/>
      <c r="F36" s="9">
        <f t="shared" si="8"/>
        <v>0</v>
      </c>
      <c r="G36" s="9"/>
      <c r="H36" s="6"/>
      <c r="I36" s="11">
        <f t="shared" si="9"/>
        <v>0</v>
      </c>
      <c r="J36" s="11"/>
      <c r="K36" s="6"/>
    </row>
    <row r="37" spans="1:11" x14ac:dyDescent="0.2">
      <c r="A37" s="3" t="s">
        <v>36</v>
      </c>
      <c r="B37" s="1">
        <v>0</v>
      </c>
      <c r="C37" s="9">
        <v>0</v>
      </c>
      <c r="D37" s="9"/>
      <c r="E37" s="6"/>
      <c r="F37" s="9">
        <f t="shared" si="8"/>
        <v>0</v>
      </c>
      <c r="G37" s="9"/>
      <c r="H37" s="6"/>
      <c r="I37" s="11" t="s">
        <v>56</v>
      </c>
      <c r="J37" s="11"/>
      <c r="K37" s="6"/>
    </row>
    <row r="38" spans="1:11" x14ac:dyDescent="0.2">
      <c r="A38" s="3" t="s">
        <v>37</v>
      </c>
      <c r="B38" s="1">
        <v>23</v>
      </c>
      <c r="C38" s="9">
        <v>23</v>
      </c>
      <c r="D38" s="9"/>
      <c r="E38" s="6"/>
      <c r="F38" s="9">
        <f t="shared" si="8"/>
        <v>0</v>
      </c>
      <c r="G38" s="9"/>
      <c r="H38" s="6"/>
      <c r="I38" s="11">
        <f t="shared" si="9"/>
        <v>0</v>
      </c>
      <c r="J38" s="11"/>
      <c r="K38" s="6"/>
    </row>
    <row r="39" spans="1:11" x14ac:dyDescent="0.2">
      <c r="A39" s="3" t="s">
        <v>38</v>
      </c>
      <c r="B39" s="1">
        <v>6.6195789999999999</v>
      </c>
      <c r="C39" s="9">
        <v>6.6183040000000002</v>
      </c>
      <c r="D39" s="9"/>
      <c r="E39" s="6"/>
      <c r="F39" s="9">
        <f t="shared" si="8"/>
        <v>-1.274999999999693E-3</v>
      </c>
      <c r="G39" s="9"/>
      <c r="H39" s="6"/>
      <c r="I39" s="11">
        <f t="shared" si="9"/>
        <v>-1.9261043640383973E-4</v>
      </c>
      <c r="J39" s="11"/>
      <c r="K39" s="6"/>
    </row>
    <row r="40" spans="1:11" x14ac:dyDescent="0.2">
      <c r="A40" s="3" t="s">
        <v>39</v>
      </c>
      <c r="B40" s="1">
        <v>7</v>
      </c>
      <c r="C40" s="9">
        <v>7</v>
      </c>
      <c r="D40" s="9"/>
      <c r="E40" s="6"/>
      <c r="F40" s="9">
        <f t="shared" si="8"/>
        <v>0</v>
      </c>
      <c r="G40" s="9"/>
      <c r="H40" s="6"/>
      <c r="I40" s="11">
        <f t="shared" si="9"/>
        <v>0</v>
      </c>
      <c r="J40" s="11"/>
      <c r="K40" s="6"/>
    </row>
    <row r="41" spans="1:11" x14ac:dyDescent="0.2">
      <c r="A41" s="3" t="s">
        <v>40</v>
      </c>
      <c r="B41" s="1">
        <v>8</v>
      </c>
      <c r="C41" s="9">
        <v>8</v>
      </c>
      <c r="D41" s="9"/>
      <c r="E41" s="6"/>
      <c r="F41" s="9">
        <f t="shared" si="8"/>
        <v>0</v>
      </c>
      <c r="G41" s="9"/>
      <c r="H41" s="6"/>
      <c r="I41" s="11">
        <f t="shared" si="9"/>
        <v>0</v>
      </c>
      <c r="J41" s="11"/>
      <c r="K41" s="6"/>
    </row>
    <row r="42" spans="1:11" x14ac:dyDescent="0.2">
      <c r="A42" s="3" t="s">
        <v>41</v>
      </c>
      <c r="B42" s="1">
        <v>3</v>
      </c>
      <c r="C42" s="9">
        <v>3</v>
      </c>
      <c r="D42" s="9"/>
      <c r="E42" s="6"/>
      <c r="F42" s="9">
        <f t="shared" si="8"/>
        <v>0</v>
      </c>
      <c r="G42" s="9"/>
      <c r="H42" s="6"/>
      <c r="I42" s="11">
        <f t="shared" si="9"/>
        <v>0</v>
      </c>
      <c r="J42" s="11"/>
      <c r="K42" s="6"/>
    </row>
    <row r="43" spans="1:11" x14ac:dyDescent="0.2">
      <c r="A43" s="3" t="s">
        <v>42</v>
      </c>
      <c r="B43" s="1">
        <v>471</v>
      </c>
      <c r="C43" s="9">
        <v>455</v>
      </c>
      <c r="D43" s="9"/>
      <c r="E43" s="6"/>
      <c r="F43" s="9">
        <f t="shared" si="8"/>
        <v>-16</v>
      </c>
      <c r="G43" s="9"/>
      <c r="H43" s="6"/>
      <c r="I43" s="11">
        <f t="shared" si="9"/>
        <v>-3.3970276008492568E-2</v>
      </c>
      <c r="J43" s="11"/>
      <c r="K43" s="6"/>
    </row>
    <row r="44" spans="1:11" x14ac:dyDescent="0.2">
      <c r="A44" s="3" t="s">
        <v>43</v>
      </c>
      <c r="B44" s="5">
        <v>0.15019133000000001</v>
      </c>
      <c r="C44" s="13">
        <v>0.14508929000000001</v>
      </c>
      <c r="D44" s="13"/>
      <c r="E44" s="6"/>
      <c r="F44" s="9">
        <f t="shared" si="8"/>
        <v>-5.1020400000000021E-3</v>
      </c>
      <c r="G44" s="9"/>
      <c r="H44" s="6"/>
      <c r="I44" s="11">
        <f t="shared" si="9"/>
        <v>-3.3970269788542402E-2</v>
      </c>
      <c r="J44" s="11"/>
      <c r="K44" s="6"/>
    </row>
    <row r="45" spans="1:11" x14ac:dyDescent="0.2">
      <c r="A45" s="7"/>
      <c r="B45" s="8"/>
      <c r="C45" s="8"/>
      <c r="D45" s="8"/>
      <c r="E45" s="6"/>
      <c r="F45" s="8"/>
      <c r="G45" s="8"/>
      <c r="H45" s="6"/>
      <c r="I45" s="8"/>
      <c r="J45" s="8"/>
      <c r="K45" s="6"/>
    </row>
    <row r="46" spans="1:11" x14ac:dyDescent="0.2">
      <c r="A46" s="3" t="s">
        <v>44</v>
      </c>
      <c r="B46" s="1">
        <v>3.401786</v>
      </c>
      <c r="C46" s="9">
        <v>3.4068879999999999</v>
      </c>
      <c r="D46" s="9"/>
      <c r="E46" s="6"/>
      <c r="F46" s="9">
        <f>C46-B46</f>
        <v>5.1019999999999399E-3</v>
      </c>
      <c r="G46" s="9"/>
      <c r="H46" s="6"/>
      <c r="I46" s="11">
        <f t="shared" ref="I46" si="10">F46/B46</f>
        <v>1.4998003989668779E-3</v>
      </c>
      <c r="J46" s="11"/>
      <c r="K46" s="6"/>
    </row>
    <row r="47" spans="1:11" x14ac:dyDescent="0.2">
      <c r="A47" s="3" t="s">
        <v>45</v>
      </c>
      <c r="B47" s="1">
        <v>1.770408</v>
      </c>
      <c r="C47" s="9">
        <v>1.772321</v>
      </c>
      <c r="D47" s="9"/>
      <c r="E47" s="6"/>
      <c r="F47" s="9">
        <f t="shared" ref="F47:F57" si="11">C47-B47</f>
        <v>1.9130000000000535E-3</v>
      </c>
      <c r="G47" s="9"/>
      <c r="H47" s="6"/>
      <c r="I47" s="11">
        <f t="shared" ref="I47:I57" si="12">F47/B47</f>
        <v>1.0805418863900601E-3</v>
      </c>
      <c r="J47" s="11"/>
      <c r="K47" s="6"/>
    </row>
    <row r="48" spans="1:11" x14ac:dyDescent="0.2">
      <c r="A48" s="3" t="s">
        <v>46</v>
      </c>
      <c r="B48" s="1">
        <v>2</v>
      </c>
      <c r="C48" s="9">
        <v>2</v>
      </c>
      <c r="D48" s="9"/>
      <c r="E48" s="6"/>
      <c r="F48" s="9">
        <f t="shared" si="11"/>
        <v>0</v>
      </c>
      <c r="G48" s="9"/>
      <c r="H48" s="6"/>
      <c r="I48" s="11">
        <f t="shared" si="12"/>
        <v>0</v>
      </c>
      <c r="J48" s="11"/>
      <c r="K48" s="6"/>
    </row>
    <row r="49" spans="1:11" x14ac:dyDescent="0.2">
      <c r="A49" s="3" t="s">
        <v>47</v>
      </c>
      <c r="B49" s="1">
        <v>-2</v>
      </c>
      <c r="C49" s="9">
        <v>-2</v>
      </c>
      <c r="D49" s="9"/>
      <c r="E49" s="6"/>
      <c r="F49" s="9">
        <f t="shared" si="11"/>
        <v>0</v>
      </c>
      <c r="G49" s="9"/>
      <c r="H49" s="6"/>
      <c r="I49" s="11">
        <f t="shared" si="12"/>
        <v>0</v>
      </c>
      <c r="J49" s="11"/>
      <c r="K49" s="6"/>
    </row>
    <row r="50" spans="1:11" x14ac:dyDescent="0.2">
      <c r="A50" s="3" t="s">
        <v>48</v>
      </c>
      <c r="B50" s="1">
        <v>-3</v>
      </c>
      <c r="C50" s="9">
        <v>-3</v>
      </c>
      <c r="D50" s="9"/>
      <c r="E50" s="6"/>
      <c r="F50" s="9">
        <f t="shared" si="11"/>
        <v>0</v>
      </c>
      <c r="G50" s="9"/>
      <c r="H50" s="6"/>
      <c r="I50" s="11">
        <f t="shared" si="12"/>
        <v>0</v>
      </c>
      <c r="J50" s="11"/>
      <c r="K50" s="6"/>
    </row>
    <row r="51" spans="1:11" x14ac:dyDescent="0.2">
      <c r="A51" s="3" t="s">
        <v>49</v>
      </c>
      <c r="B51" s="1">
        <v>2</v>
      </c>
      <c r="C51" s="9">
        <v>2</v>
      </c>
      <c r="D51" s="9"/>
      <c r="E51" s="6"/>
      <c r="F51" s="9">
        <f t="shared" si="11"/>
        <v>0</v>
      </c>
      <c r="G51" s="9"/>
      <c r="H51" s="6"/>
      <c r="I51" s="11">
        <f t="shared" si="12"/>
        <v>0</v>
      </c>
      <c r="J51" s="11"/>
      <c r="K51" s="6"/>
    </row>
    <row r="52" spans="1:11" x14ac:dyDescent="0.2">
      <c r="A52" s="3" t="s">
        <v>50</v>
      </c>
      <c r="B52" s="1">
        <v>6.7904970000000002</v>
      </c>
      <c r="C52" s="9">
        <v>6.78986</v>
      </c>
      <c r="D52" s="9"/>
      <c r="E52" s="6"/>
      <c r="F52" s="9">
        <f t="shared" si="11"/>
        <v>-6.3700000000022072E-4</v>
      </c>
      <c r="G52" s="9"/>
      <c r="H52" s="6"/>
      <c r="I52" s="11">
        <f t="shared" si="12"/>
        <v>-9.3807566662678849E-5</v>
      </c>
      <c r="J52" s="11"/>
      <c r="K52" s="6"/>
    </row>
    <row r="53" spans="1:11" x14ac:dyDescent="0.2">
      <c r="A53" s="3" t="s">
        <v>51</v>
      </c>
      <c r="B53" s="1">
        <v>7</v>
      </c>
      <c r="C53" s="9">
        <v>7</v>
      </c>
      <c r="D53" s="9"/>
      <c r="E53" s="6"/>
      <c r="F53" s="9">
        <f t="shared" si="11"/>
        <v>0</v>
      </c>
      <c r="G53" s="9"/>
      <c r="H53" s="6"/>
      <c r="I53" s="11">
        <f t="shared" si="12"/>
        <v>0</v>
      </c>
      <c r="J53" s="11"/>
      <c r="K53" s="6"/>
    </row>
    <row r="54" spans="1:11" x14ac:dyDescent="0.2">
      <c r="A54" s="3" t="s">
        <v>52</v>
      </c>
      <c r="B54" s="1">
        <v>8</v>
      </c>
      <c r="C54" s="9">
        <v>8</v>
      </c>
      <c r="D54" s="9"/>
      <c r="E54" s="6"/>
      <c r="F54" s="9">
        <f t="shared" si="11"/>
        <v>0</v>
      </c>
      <c r="G54" s="9"/>
      <c r="H54" s="6"/>
      <c r="I54" s="11">
        <f t="shared" si="12"/>
        <v>0</v>
      </c>
      <c r="J54" s="11"/>
      <c r="K54" s="6"/>
    </row>
    <row r="55" spans="1:11" x14ac:dyDescent="0.2">
      <c r="A55" s="3" t="s">
        <v>53</v>
      </c>
      <c r="B55" s="1">
        <v>5</v>
      </c>
      <c r="C55" s="9">
        <v>5</v>
      </c>
      <c r="D55" s="9"/>
      <c r="E55" s="6"/>
      <c r="F55" s="9">
        <f t="shared" si="11"/>
        <v>0</v>
      </c>
      <c r="G55" s="9"/>
      <c r="H55" s="6"/>
      <c r="I55" s="11">
        <f t="shared" si="12"/>
        <v>0</v>
      </c>
      <c r="J55" s="11"/>
      <c r="K55" s="6"/>
    </row>
    <row r="56" spans="1:11" x14ac:dyDescent="0.2">
      <c r="A56" s="3" t="s">
        <v>54</v>
      </c>
      <c r="B56" s="1">
        <v>61</v>
      </c>
      <c r="C56" s="9">
        <v>60</v>
      </c>
      <c r="D56" s="9"/>
      <c r="E56" s="6"/>
      <c r="F56" s="9">
        <f t="shared" si="11"/>
        <v>-1</v>
      </c>
      <c r="G56" s="9"/>
      <c r="H56" s="6"/>
      <c r="I56" s="11">
        <f t="shared" si="12"/>
        <v>-1.6393442622950821E-2</v>
      </c>
      <c r="J56" s="11"/>
      <c r="K56" s="6"/>
    </row>
    <row r="57" spans="1:11" x14ac:dyDescent="0.2">
      <c r="A57" s="3" t="s">
        <v>55</v>
      </c>
      <c r="B57" s="5">
        <v>1.9451530000000002E-2</v>
      </c>
      <c r="C57" s="11">
        <v>1.9132650000000001E-2</v>
      </c>
      <c r="D57" s="11"/>
      <c r="E57" s="6"/>
      <c r="F57" s="9">
        <f t="shared" si="11"/>
        <v>-3.1888000000000055E-4</v>
      </c>
      <c r="G57" s="9"/>
      <c r="H57" s="6"/>
      <c r="I57" s="11">
        <f t="shared" si="12"/>
        <v>-1.6393569040584494E-2</v>
      </c>
      <c r="J57" s="11"/>
      <c r="K57" s="6"/>
    </row>
    <row r="58" spans="1:11" x14ac:dyDescent="0.2">
      <c r="A58" s="7"/>
      <c r="B58" s="8"/>
      <c r="C58" s="8"/>
      <c r="D58" s="8"/>
      <c r="E58" s="6"/>
      <c r="F58" s="8"/>
      <c r="G58" s="8"/>
      <c r="H58" s="6"/>
      <c r="I58" s="8"/>
      <c r="J58" s="8"/>
      <c r="K58" s="6"/>
    </row>
    <row r="59" spans="1:11" x14ac:dyDescent="0.2">
      <c r="A59" s="3" t="s">
        <v>69</v>
      </c>
      <c r="B59" s="9" t="s">
        <v>68</v>
      </c>
      <c r="C59" s="9"/>
      <c r="D59" s="9"/>
      <c r="E59" s="6"/>
      <c r="F59" s="9">
        <v>0</v>
      </c>
      <c r="G59" s="9"/>
      <c r="H59" s="6"/>
      <c r="I59" s="12">
        <v>0</v>
      </c>
      <c r="J59" s="12"/>
      <c r="K59" s="6"/>
    </row>
    <row r="60" spans="1:11" x14ac:dyDescent="0.2">
      <c r="A60" s="3" t="s">
        <v>59</v>
      </c>
      <c r="B60" s="9">
        <v>1</v>
      </c>
      <c r="C60" s="9"/>
      <c r="D60" s="9"/>
      <c r="E60" s="6"/>
      <c r="F60" s="9">
        <v>0</v>
      </c>
      <c r="G60" s="9"/>
      <c r="H60" s="6"/>
      <c r="I60" s="11">
        <f t="shared" ref="I60:I68" si="13">F60/B60</f>
        <v>0</v>
      </c>
      <c r="J60" s="11"/>
      <c r="K60" s="6"/>
    </row>
    <row r="61" spans="1:11" x14ac:dyDescent="0.2">
      <c r="A61" s="3" t="s">
        <v>60</v>
      </c>
      <c r="B61" s="9">
        <v>69633</v>
      </c>
      <c r="C61" s="9"/>
      <c r="D61" s="9"/>
      <c r="E61" s="6"/>
      <c r="F61" s="9">
        <v>0</v>
      </c>
      <c r="G61" s="9"/>
      <c r="H61" s="6"/>
      <c r="I61" s="11">
        <f t="shared" si="13"/>
        <v>0</v>
      </c>
      <c r="J61" s="11"/>
      <c r="K61" s="6"/>
    </row>
    <row r="62" spans="1:11" x14ac:dyDescent="0.2">
      <c r="A62" s="3" t="s">
        <v>61</v>
      </c>
      <c r="B62" s="9">
        <v>70352</v>
      </c>
      <c r="C62" s="9"/>
      <c r="D62" s="9"/>
      <c r="E62" s="6"/>
      <c r="F62" s="9">
        <v>0</v>
      </c>
      <c r="G62" s="9"/>
      <c r="H62" s="6"/>
      <c r="I62" s="11">
        <f t="shared" si="13"/>
        <v>0</v>
      </c>
      <c r="J62" s="11"/>
      <c r="K62" s="6"/>
    </row>
    <row r="63" spans="1:11" x14ac:dyDescent="0.2">
      <c r="A63" s="3" t="s">
        <v>62</v>
      </c>
      <c r="B63" s="9">
        <v>73927</v>
      </c>
      <c r="C63" s="9"/>
      <c r="D63" s="9"/>
      <c r="E63" s="6"/>
      <c r="F63" s="9">
        <v>0</v>
      </c>
      <c r="G63" s="9"/>
      <c r="H63" s="6"/>
      <c r="I63" s="11">
        <f t="shared" si="13"/>
        <v>0</v>
      </c>
      <c r="J63" s="11"/>
      <c r="K63" s="6"/>
    </row>
    <row r="64" spans="1:11" x14ac:dyDescent="0.2">
      <c r="A64" s="3" t="s">
        <v>63</v>
      </c>
      <c r="B64" s="9">
        <f>B63-B60</f>
        <v>73926</v>
      </c>
      <c r="C64" s="9"/>
      <c r="D64" s="9"/>
      <c r="E64" s="6"/>
      <c r="F64" s="9">
        <v>0</v>
      </c>
      <c r="G64" s="9"/>
      <c r="H64" s="6"/>
      <c r="I64" s="11">
        <f t="shared" si="13"/>
        <v>0</v>
      </c>
      <c r="J64" s="11"/>
      <c r="K64" s="6"/>
    </row>
    <row r="65" spans="1:11" x14ac:dyDescent="0.2">
      <c r="A65" s="3" t="s">
        <v>64</v>
      </c>
      <c r="B65" s="9">
        <f>B64/(B3*10^3)</f>
        <v>0.98568</v>
      </c>
      <c r="C65" s="9"/>
      <c r="D65" s="1">
        <f>B64/(D3*10^3)</f>
        <v>0.37910769230769231</v>
      </c>
      <c r="E65" s="6"/>
      <c r="F65" s="1">
        <v>0</v>
      </c>
      <c r="G65" s="1">
        <f t="shared" ref="G60:G68" si="14">D65-B65</f>
        <v>-0.60657230769230774</v>
      </c>
      <c r="H65" s="6"/>
      <c r="I65" s="5">
        <v>0</v>
      </c>
      <c r="J65" s="5">
        <f t="shared" ref="J60:J68" si="15">G65/B65</f>
        <v>-0.61538461538461542</v>
      </c>
      <c r="K65" s="6"/>
    </row>
    <row r="66" spans="1:11" x14ac:dyDescent="0.2">
      <c r="A66" s="3" t="s">
        <v>65</v>
      </c>
      <c r="B66" s="9">
        <f>B63-B61</f>
        <v>4294</v>
      </c>
      <c r="C66" s="9"/>
      <c r="D66" s="9"/>
      <c r="E66" s="6"/>
      <c r="F66" s="9">
        <v>0</v>
      </c>
      <c r="G66" s="9"/>
      <c r="H66" s="6"/>
      <c r="I66" s="11">
        <f t="shared" si="13"/>
        <v>0</v>
      </c>
      <c r="J66" s="11"/>
      <c r="K66" s="6"/>
    </row>
    <row r="67" spans="1:11" x14ac:dyDescent="0.2">
      <c r="A67" s="3" t="s">
        <v>66</v>
      </c>
      <c r="B67" s="9">
        <f>B66/B3</f>
        <v>57.25333333333333</v>
      </c>
      <c r="C67" s="9"/>
      <c r="D67" s="1">
        <f>B66/D3</f>
        <v>22.02051282051282</v>
      </c>
      <c r="E67" s="6"/>
      <c r="F67" s="1">
        <v>0</v>
      </c>
      <c r="G67" s="1">
        <f t="shared" si="14"/>
        <v>-35.23282051282051</v>
      </c>
      <c r="H67" s="6"/>
      <c r="I67" s="5">
        <v>0</v>
      </c>
      <c r="J67" s="5">
        <f t="shared" si="15"/>
        <v>-0.61538461538461542</v>
      </c>
      <c r="K67" s="6"/>
    </row>
    <row r="68" spans="1:11" x14ac:dyDescent="0.2">
      <c r="A68" s="3" t="s">
        <v>67</v>
      </c>
      <c r="B68" s="1">
        <f>B12*B65</f>
        <v>954.97606800000005</v>
      </c>
      <c r="C68" s="1">
        <f t="shared" ref="C68:D68" si="16">C12*C65</f>
        <v>0</v>
      </c>
      <c r="D68" s="1">
        <f>D12*D65</f>
        <v>730.1235046153846</v>
      </c>
      <c r="E68" s="6"/>
      <c r="F68" s="1">
        <f t="shared" ref="F60:F68" si="17">C68-B68</f>
        <v>-954.97606800000005</v>
      </c>
      <c r="G68" s="1">
        <f t="shared" si="14"/>
        <v>-224.85256338461545</v>
      </c>
      <c r="H68" s="6"/>
      <c r="I68" s="5">
        <f t="shared" si="13"/>
        <v>-1</v>
      </c>
      <c r="J68" s="5">
        <f t="shared" si="15"/>
        <v>-0.23545361074390342</v>
      </c>
      <c r="K68" s="6"/>
    </row>
    <row r="69" spans="1:11" x14ac:dyDescent="0.2">
      <c r="A69" s="7"/>
      <c r="B69" s="8"/>
      <c r="C69" s="8"/>
      <c r="D69" s="8"/>
      <c r="E69" s="6"/>
      <c r="F69" s="8"/>
      <c r="G69" s="8"/>
      <c r="H69" s="6"/>
      <c r="I69" s="8"/>
      <c r="J69" s="8"/>
      <c r="K69" s="6"/>
    </row>
  </sheetData>
  <mergeCells count="99">
    <mergeCell ref="I54:J54"/>
    <mergeCell ref="I55:J55"/>
    <mergeCell ref="I56:J56"/>
    <mergeCell ref="I57:J57"/>
    <mergeCell ref="I49:J49"/>
    <mergeCell ref="I50:J50"/>
    <mergeCell ref="I51:J51"/>
    <mergeCell ref="I52:J52"/>
    <mergeCell ref="I53:J53"/>
    <mergeCell ref="I43:J43"/>
    <mergeCell ref="I44:J44"/>
    <mergeCell ref="I46:J46"/>
    <mergeCell ref="I47:J47"/>
    <mergeCell ref="I48:J48"/>
    <mergeCell ref="I38:J38"/>
    <mergeCell ref="I39:J39"/>
    <mergeCell ref="I40:J40"/>
    <mergeCell ref="I41:J41"/>
    <mergeCell ref="I42:J42"/>
    <mergeCell ref="I33:J33"/>
    <mergeCell ref="I34:J34"/>
    <mergeCell ref="I35:J35"/>
    <mergeCell ref="I36:J36"/>
    <mergeCell ref="I37:J37"/>
    <mergeCell ref="C55:D55"/>
    <mergeCell ref="C56:D56"/>
    <mergeCell ref="C57:D57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C50:D50"/>
    <mergeCell ref="C51:D51"/>
    <mergeCell ref="C52:D52"/>
    <mergeCell ref="C53:D53"/>
    <mergeCell ref="C54:D54"/>
    <mergeCell ref="F44:G44"/>
    <mergeCell ref="C46:D46"/>
    <mergeCell ref="C47:D47"/>
    <mergeCell ref="C48:D48"/>
    <mergeCell ref="C49:D49"/>
    <mergeCell ref="I60:J60"/>
    <mergeCell ref="I59:J59"/>
    <mergeCell ref="B67:C67"/>
    <mergeCell ref="B65:C65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I66:J66"/>
    <mergeCell ref="I64:J64"/>
    <mergeCell ref="I63:J63"/>
    <mergeCell ref="I62:J62"/>
    <mergeCell ref="I61:J61"/>
    <mergeCell ref="B66:D66"/>
    <mergeCell ref="F59:G59"/>
    <mergeCell ref="F60:G60"/>
    <mergeCell ref="F61:G61"/>
    <mergeCell ref="F62:G62"/>
    <mergeCell ref="F63:G63"/>
    <mergeCell ref="F64:G64"/>
    <mergeCell ref="F66:G66"/>
    <mergeCell ref="B60:D60"/>
    <mergeCell ref="B61:D61"/>
    <mergeCell ref="B62:D62"/>
    <mergeCell ref="B63:D63"/>
    <mergeCell ref="B64:D64"/>
    <mergeCell ref="I1:J1"/>
    <mergeCell ref="B1:D1"/>
    <mergeCell ref="A1:A2"/>
    <mergeCell ref="F1:G1"/>
    <mergeCell ref="B59:D59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Biswas</dc:creator>
  <cp:lastModifiedBy>Daniel Biswas</cp:lastModifiedBy>
  <dcterms:created xsi:type="dcterms:W3CDTF">2026-03-31T01:56:35Z</dcterms:created>
  <dcterms:modified xsi:type="dcterms:W3CDTF">2026-04-02T09:46:37Z</dcterms:modified>
</cp:coreProperties>
</file>
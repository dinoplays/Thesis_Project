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E43EDC6F-9E37-7B4A-B17C-0B8065F26844}" xr6:coauthVersionLast="47" xr6:coauthVersionMax="47" xr10:uidLastSave="{00000000-0000-0000-0000-000000000000}"/>
  <bookViews>
    <workbookView xWindow="20" yWindow="660" windowWidth="26960" windowHeight="1774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1" i="1" l="1"/>
  <c r="B150" i="1"/>
  <c r="B149" i="1"/>
  <c r="C140" i="1"/>
  <c r="C141" i="1" s="1"/>
  <c r="B140" i="1"/>
  <c r="B141" i="1" s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6" i="1"/>
  <c r="C127" i="1" s="1"/>
  <c r="B126" i="1"/>
  <c r="B127" i="1" s="1"/>
  <c r="C125" i="1"/>
  <c r="B125" i="1"/>
  <c r="C124" i="1"/>
  <c r="B124" i="1"/>
  <c r="C123" i="1"/>
  <c r="B123" i="1"/>
  <c r="C122" i="1"/>
  <c r="B122" i="1"/>
  <c r="C121" i="1"/>
  <c r="B121" i="1"/>
  <c r="C120" i="1"/>
  <c r="B120" i="1"/>
  <c r="E119" i="1"/>
  <c r="D119" i="1"/>
  <c r="C119" i="1"/>
  <c r="B119" i="1"/>
  <c r="E118" i="1"/>
  <c r="D118" i="1"/>
  <c r="C118" i="1"/>
  <c r="B118" i="1"/>
  <c r="C117" i="1"/>
  <c r="B117" i="1"/>
  <c r="C116" i="1"/>
  <c r="B116" i="1"/>
  <c r="G85" i="1" l="1"/>
  <c r="K85" i="1" s="1"/>
  <c r="G84" i="1"/>
  <c r="K84" i="1" s="1"/>
  <c r="G83" i="1"/>
  <c r="K83" i="1" s="1"/>
  <c r="G82" i="1"/>
  <c r="K82" i="1" s="1"/>
  <c r="G81" i="1"/>
  <c r="K81" i="1" s="1"/>
  <c r="G80" i="1"/>
  <c r="K80" i="1" s="1"/>
  <c r="G79" i="1"/>
  <c r="K79" i="1" s="1"/>
  <c r="G78" i="1"/>
  <c r="K78" i="1" s="1"/>
  <c r="G77" i="1"/>
  <c r="G76" i="1"/>
  <c r="G75" i="1"/>
  <c r="K75" i="1" s="1"/>
  <c r="G74" i="1"/>
  <c r="K74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K66" i="1" s="1"/>
  <c r="G65" i="1"/>
  <c r="K65" i="1" s="1"/>
  <c r="G64" i="1"/>
  <c r="K64" i="1" s="1"/>
  <c r="G63" i="1"/>
  <c r="G62" i="1"/>
  <c r="G61" i="1"/>
  <c r="K61" i="1" s="1"/>
  <c r="G60" i="1"/>
  <c r="K60" i="1" s="1"/>
  <c r="G113" i="1"/>
  <c r="K113" i="1" s="1"/>
  <c r="G112" i="1"/>
  <c r="K112" i="1" s="1"/>
  <c r="G111" i="1"/>
  <c r="K111" i="1" s="1"/>
  <c r="G110" i="1"/>
  <c r="K110" i="1" s="1"/>
  <c r="G109" i="1"/>
  <c r="K109" i="1" s="1"/>
  <c r="G108" i="1"/>
  <c r="K108" i="1" s="1"/>
  <c r="G107" i="1"/>
  <c r="K107" i="1" s="1"/>
  <c r="G106" i="1"/>
  <c r="K106" i="1" s="1"/>
  <c r="G105" i="1"/>
  <c r="G104" i="1"/>
  <c r="G103" i="1"/>
  <c r="K103" i="1" s="1"/>
  <c r="G102" i="1"/>
  <c r="K102" i="1" s="1"/>
  <c r="G99" i="1"/>
  <c r="K99" i="1" s="1"/>
  <c r="G98" i="1"/>
  <c r="K98" i="1" s="1"/>
  <c r="G97" i="1"/>
  <c r="K97" i="1" s="1"/>
  <c r="G96" i="1"/>
  <c r="K96" i="1" s="1"/>
  <c r="G95" i="1"/>
  <c r="K95" i="1" s="1"/>
  <c r="G94" i="1"/>
  <c r="K94" i="1" s="1"/>
  <c r="G93" i="1"/>
  <c r="K93" i="1" s="1"/>
  <c r="G92" i="1"/>
  <c r="K92" i="1" s="1"/>
  <c r="G91" i="1"/>
  <c r="G90" i="1"/>
  <c r="G89" i="1"/>
  <c r="K89" i="1" s="1"/>
  <c r="G88" i="1"/>
  <c r="K88" i="1" s="1"/>
  <c r="G141" i="1"/>
  <c r="K141" i="1" s="1"/>
  <c r="G140" i="1"/>
  <c r="K140" i="1" s="1"/>
  <c r="G139" i="1"/>
  <c r="K139" i="1" s="1"/>
  <c r="G138" i="1"/>
  <c r="K138" i="1" s="1"/>
  <c r="G137" i="1"/>
  <c r="K137" i="1" s="1"/>
  <c r="G136" i="1"/>
  <c r="K136" i="1" s="1"/>
  <c r="G135" i="1"/>
  <c r="K135" i="1" s="1"/>
  <c r="G134" i="1"/>
  <c r="K134" i="1" s="1"/>
  <c r="G133" i="1"/>
  <c r="K133" i="1" s="1"/>
  <c r="G132" i="1"/>
  <c r="K132" i="1" s="1"/>
  <c r="G131" i="1"/>
  <c r="K131" i="1" s="1"/>
  <c r="G130" i="1"/>
  <c r="K130" i="1" s="1"/>
  <c r="G127" i="1"/>
  <c r="K127" i="1" s="1"/>
  <c r="G126" i="1"/>
  <c r="K126" i="1" s="1"/>
  <c r="G125" i="1"/>
  <c r="K125" i="1" s="1"/>
  <c r="G124" i="1"/>
  <c r="K124" i="1" s="1"/>
  <c r="G123" i="1"/>
  <c r="K123" i="1" s="1"/>
  <c r="G122" i="1"/>
  <c r="K122" i="1" s="1"/>
  <c r="G121" i="1"/>
  <c r="K121" i="1" s="1"/>
  <c r="G120" i="1"/>
  <c r="K120" i="1" s="1"/>
  <c r="G119" i="1"/>
  <c r="G118" i="1"/>
  <c r="G117" i="1"/>
  <c r="K117" i="1" s="1"/>
  <c r="G116" i="1"/>
  <c r="K116" i="1" s="1"/>
  <c r="G46" i="1"/>
  <c r="K46" i="1" s="1"/>
  <c r="I10" i="1"/>
  <c r="M10" i="1" s="1"/>
  <c r="I9" i="1"/>
  <c r="M9" i="1" s="1"/>
  <c r="I8" i="1"/>
  <c r="M8" i="1" s="1"/>
  <c r="I5" i="1"/>
  <c r="M5" i="1" s="1"/>
  <c r="I7" i="1"/>
  <c r="M7" i="1" s="1"/>
  <c r="I3" i="1"/>
  <c r="M3" i="1" s="1"/>
  <c r="I4" i="1"/>
  <c r="M4" i="1" s="1"/>
  <c r="I12" i="1"/>
  <c r="M12" i="1" s="1"/>
  <c r="I13" i="1"/>
  <c r="M13" i="1" s="1"/>
  <c r="I14" i="1"/>
  <c r="M14" i="1" s="1"/>
  <c r="I15" i="1"/>
  <c r="M15" i="1" s="1"/>
  <c r="I16" i="1"/>
  <c r="M16" i="1" s="1"/>
  <c r="I17" i="1"/>
  <c r="M17" i="1" s="1"/>
  <c r="I28" i="1"/>
  <c r="M28" i="1" s="1"/>
  <c r="I29" i="1"/>
  <c r="M29" i="1" s="1"/>
  <c r="I18" i="1"/>
  <c r="M18" i="1" s="1"/>
  <c r="I19" i="1"/>
  <c r="M19" i="1" s="1"/>
  <c r="I20" i="1"/>
  <c r="M20" i="1" s="1"/>
  <c r="I21" i="1"/>
  <c r="M21" i="1" s="1"/>
  <c r="I22" i="1"/>
  <c r="M22" i="1" s="1"/>
  <c r="I23" i="1"/>
  <c r="M23" i="1" s="1"/>
  <c r="I24" i="1"/>
  <c r="M24" i="1" s="1"/>
  <c r="I25" i="1"/>
  <c r="M25" i="1" s="1"/>
  <c r="I26" i="1"/>
  <c r="M26" i="1" s="1"/>
  <c r="I27" i="1"/>
  <c r="M27" i="1" s="1"/>
  <c r="H13" i="1"/>
  <c r="L13" i="1" s="1"/>
  <c r="H14" i="1"/>
  <c r="L14" i="1" s="1"/>
  <c r="H15" i="1"/>
  <c r="L15" i="1" s="1"/>
  <c r="H16" i="1"/>
  <c r="L16" i="1" s="1"/>
  <c r="H17" i="1"/>
  <c r="L17" i="1" s="1"/>
  <c r="H28" i="1"/>
  <c r="L28" i="1" s="1"/>
  <c r="H29" i="1"/>
  <c r="L29" i="1" s="1"/>
  <c r="H18" i="1"/>
  <c r="L18" i="1" s="1"/>
  <c r="H19" i="1"/>
  <c r="L19" i="1" s="1"/>
  <c r="H20" i="1"/>
  <c r="L20" i="1" s="1"/>
  <c r="H21" i="1"/>
  <c r="L21" i="1" s="1"/>
  <c r="H22" i="1"/>
  <c r="L22" i="1" s="1"/>
  <c r="H23" i="1"/>
  <c r="L23" i="1" s="1"/>
  <c r="H24" i="1"/>
  <c r="L24" i="1" s="1"/>
  <c r="H25" i="1"/>
  <c r="L25" i="1" s="1"/>
  <c r="H26" i="1"/>
  <c r="L26" i="1" s="1"/>
  <c r="H27" i="1"/>
  <c r="L27" i="1" s="1"/>
  <c r="H12" i="1"/>
  <c r="L12" i="1" s="1"/>
  <c r="H8" i="1"/>
  <c r="L8" i="1" s="1"/>
  <c r="H9" i="1"/>
  <c r="L9" i="1" s="1"/>
  <c r="H10" i="1"/>
  <c r="L10" i="1" s="1"/>
  <c r="H7" i="1"/>
  <c r="L7" i="1" s="1"/>
  <c r="H4" i="1"/>
  <c r="L4" i="1" s="1"/>
  <c r="H5" i="1"/>
  <c r="L5" i="1" s="1"/>
  <c r="L3" i="1"/>
  <c r="E151" i="1"/>
  <c r="B148" i="1"/>
  <c r="B153" i="1" s="1"/>
  <c r="G57" i="1"/>
  <c r="K57" i="1" s="1"/>
  <c r="G56" i="1"/>
  <c r="K56" i="1" s="1"/>
  <c r="G55" i="1"/>
  <c r="K55" i="1" s="1"/>
  <c r="G54" i="1"/>
  <c r="K54" i="1" s="1"/>
  <c r="G53" i="1"/>
  <c r="K53" i="1" s="1"/>
  <c r="G52" i="1"/>
  <c r="K52" i="1" s="1"/>
  <c r="G51" i="1"/>
  <c r="K51" i="1" s="1"/>
  <c r="G50" i="1"/>
  <c r="K50" i="1" s="1"/>
  <c r="G49" i="1"/>
  <c r="K49" i="1" s="1"/>
  <c r="G48" i="1"/>
  <c r="K48" i="1" s="1"/>
  <c r="G47" i="1"/>
  <c r="K47" i="1" s="1"/>
  <c r="G33" i="1"/>
  <c r="K33" i="1" s="1"/>
  <c r="G34" i="1"/>
  <c r="G35" i="1"/>
  <c r="G36" i="1"/>
  <c r="K36" i="1" s="1"/>
  <c r="G37" i="1"/>
  <c r="K37" i="1" s="1"/>
  <c r="G38" i="1"/>
  <c r="K38" i="1" s="1"/>
  <c r="G39" i="1"/>
  <c r="K39" i="1" s="1"/>
  <c r="G40" i="1"/>
  <c r="K40" i="1" s="1"/>
  <c r="G41" i="1"/>
  <c r="K41" i="1" s="1"/>
  <c r="G42" i="1"/>
  <c r="K42" i="1" s="1"/>
  <c r="G43" i="1"/>
  <c r="K43" i="1" s="1"/>
  <c r="K145" i="1"/>
  <c r="K146" i="1"/>
  <c r="K147" i="1"/>
  <c r="K144" i="1"/>
  <c r="G32" i="1"/>
  <c r="K32" i="1" s="1"/>
  <c r="G4" i="1"/>
  <c r="K4" i="1" s="1"/>
  <c r="G5" i="1"/>
  <c r="K5" i="1" s="1"/>
  <c r="G7" i="1"/>
  <c r="K7" i="1" s="1"/>
  <c r="G8" i="1"/>
  <c r="K8" i="1" s="1"/>
  <c r="G9" i="1"/>
  <c r="K9" i="1" s="1"/>
  <c r="G10" i="1"/>
  <c r="K10" i="1" s="1"/>
  <c r="G12" i="1"/>
  <c r="K12" i="1" s="1"/>
  <c r="G13" i="1"/>
  <c r="K13" i="1" s="1"/>
  <c r="G14" i="1"/>
  <c r="K14" i="1" s="1"/>
  <c r="G15" i="1"/>
  <c r="K15" i="1" s="1"/>
  <c r="G16" i="1"/>
  <c r="K16" i="1" s="1"/>
  <c r="G17" i="1"/>
  <c r="K17" i="1" s="1"/>
  <c r="G28" i="1"/>
  <c r="K28" i="1" s="1"/>
  <c r="G29" i="1"/>
  <c r="K29" i="1" s="1"/>
  <c r="G18" i="1"/>
  <c r="K18" i="1" s="1"/>
  <c r="G19" i="1"/>
  <c r="K19" i="1" s="1"/>
  <c r="G20" i="1"/>
  <c r="K20" i="1" s="1"/>
  <c r="G21" i="1"/>
  <c r="K21" i="1" s="1"/>
  <c r="G22" i="1"/>
  <c r="K22" i="1" s="1"/>
  <c r="G23" i="1"/>
  <c r="K23" i="1" s="1"/>
  <c r="G24" i="1"/>
  <c r="K24" i="1" s="1"/>
  <c r="G25" i="1"/>
  <c r="K25" i="1" s="1"/>
  <c r="G26" i="1"/>
  <c r="K26" i="1" s="1"/>
  <c r="G27" i="1"/>
  <c r="K27" i="1" s="1"/>
  <c r="K3" i="1"/>
  <c r="E149" i="1" l="1"/>
  <c r="E153" i="1" s="1"/>
  <c r="I153" i="1" s="1"/>
  <c r="M153" i="1" s="1"/>
  <c r="D152" i="1"/>
  <c r="C152" i="1"/>
  <c r="B152" i="1"/>
  <c r="I151" i="1"/>
  <c r="M151" i="1" s="1"/>
  <c r="K148" i="1"/>
  <c r="K150" i="1"/>
  <c r="H152" i="1" l="1"/>
  <c r="L152" i="1" s="1"/>
  <c r="E152" i="1"/>
  <c r="I152" i="1" s="1"/>
  <c r="I149" i="1"/>
  <c r="M149" i="1" s="1"/>
  <c r="G152" i="1"/>
  <c r="K152" i="1" s="1"/>
</calcChain>
</file>

<file path=xl/sharedStrings.xml><?xml version="1.0" encoding="utf-8"?>
<sst xmlns="http://schemas.openxmlformats.org/spreadsheetml/2006/main" count="186" uniqueCount="81">
  <si>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</si>
  <si>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</si>
  <si>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</si>
  <si>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</si>
  <si>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</si>
  <si>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</si>
  <si>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</si>
  <si>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</si>
  <si>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</si>
  <si>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</si>
  <si>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</si>
  <si>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</si>
  <si>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</si>
  <si>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</si>
  <si>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</si>
  <si>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</si>
  <si>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</si>
  <si>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</si>
  <si>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</si>
  <si>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</si>
  <si>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</si>
  <si>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</si>
  <si>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</si>
  <si>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</si>
  <si>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</si>
  <si>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</si>
  <si>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</si>
  <si>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</si>
  <si>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</si>
  <si>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</si>
  <si>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</si>
  <si>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</si>
  <si>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</si>
  <si>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</si>
  <si>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</si>
  <si>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</si>
  <si>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</si>
  <si>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</si>
  <si>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</si>
  <si>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</si>
  <si>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</si>
  <si>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</si>
  <si>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</si>
  <si>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</si>
  <si>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</si>
  <si>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</si>
  <si>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</si>
  <si>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</si>
  <si>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</si>
  <si>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</si>
  <si>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</si>
  <si>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</si>
  <si>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</si>
  <si>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</si>
  <si>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</si>
  <si>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Out</t>
  </si>
  <si>
    <t>Last Pixel Out</t>
  </si>
  <si>
    <t>First Pixel In</t>
  </si>
  <si>
    <t>Last Pixel In</t>
  </si>
  <si>
    <t>Input To Output Programmed Latency (Clock Cycles)</t>
  </si>
  <si>
    <t>Computation Programmed Latency (Clock Cycles)</t>
  </si>
  <si>
    <t>Input To Output Programmed Latency (ms)</t>
  </si>
  <si>
    <t>Computation Programmed Latency (us)</t>
  </si>
  <si>
    <t>Programmed Energy Per Frame (uJ)</t>
  </si>
  <si>
    <t>17x128x128</t>
  </si>
  <si>
    <t>Light Field Dimensions (Sub-Apertures, Length, Width)</t>
  </si>
  <si>
    <t>Max Throughput (FPS)</t>
  </si>
  <si>
    <t>Bit Manipulation Throttled</t>
  </si>
  <si>
    <t>Dataset</t>
  </si>
  <si>
    <t>Cotton</t>
  </si>
  <si>
    <t>-</t>
  </si>
  <si>
    <t>Dino</t>
  </si>
  <si>
    <t>Town</t>
  </si>
  <si>
    <t>Average</t>
  </si>
  <si>
    <t>Confidence Exact Match Pixels (Out Of 13924)</t>
  </si>
  <si>
    <t>Disparity Exact Match Pixels (Out Of 13924)</t>
  </si>
  <si>
    <t>Disparity Exact Match Pixels (Out Of 41772)</t>
  </si>
  <si>
    <t>Confidence Exact Match Pixels (Out Of 41772)</t>
  </si>
  <si>
    <t>Confidence Exact Match Percentage</t>
  </si>
  <si>
    <t>Disparity Exact Match Percentage</t>
  </si>
  <si>
    <t>26,90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</si>
</sst>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D0D0D0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/>
    </xf>
    <xf numFmtId="9" fontId="0" fillId="0" borderId="0" xfId="0" applyNumberFormat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4"/>
  <sheetViews>
    <sheetView tabSelected="1" zoomScale="118" zoomScaleNormal="15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0" sqref="B30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4" t="s">
        <v>4</v>
      </c>
      <c r="B1" s="14" t="s">
        <v>0</v>
      </c>
      <c r="C1" s="14"/>
      <c r="D1" s="14"/>
      <c r="E1" s="14"/>
      <c r="F1" s="6"/>
      <c r="G1" s="15" t="s">
        <v>53</v>
      </c>
      <c r="H1" s="15"/>
      <c r="I1" s="15"/>
      <c r="J1" s="6"/>
      <c r="K1" s="15" t="s">
        <v>54</v>
      </c>
      <c r="L1" s="15"/>
      <c r="M1" s="15"/>
      <c r="N1" s="6"/>
    </row>
    <row r="2" spans="1:14" x14ac:dyDescent="0.2">
      <c r="A2" s="14"/>
      <c r="B2" s="2" t="s">
        <v>1</v>
      </c>
      <c r="C2" s="2" t="s">
        <v>2</v>
      </c>
      <c r="D2" s="10" t="s">
        <v>67</v>
      </c>
      <c r="E2" s="2" t="s">
        <v>3</v>
      </c>
      <c r="F2" s="6"/>
      <c r="G2" s="2" t="s">
        <v>2</v>
      </c>
      <c r="H2" s="2" t="s">
        <v>67</v>
      </c>
      <c r="I2" s="2" t="s">
        <v>3</v>
      </c>
      <c r="J2" s="6"/>
      <c r="K2" s="2" t="s">
        <v>2</v>
      </c>
      <c r="L2" s="2" t="s">
        <v>67</v>
      </c>
      <c r="M2" s="2" t="s">
        <v>3</v>
      </c>
      <c r="N2" s="6"/>
    </row>
    <row r="3" spans="1:14" x14ac:dyDescent="0.2">
      <c r="A3" s="3" t="s">
        <v>10</v>
      </c>
      <c r="B3" s="15">
        <v>80</v>
      </c>
      <c r="C3" s="15"/>
      <c r="D3" s="15"/>
      <c r="E3" s="1">
        <v>175</v>
      </c>
      <c r="F3" s="6"/>
      <c r="G3" s="15">
        <v>0</v>
      </c>
      <c r="H3" s="15"/>
      <c r="I3" s="1">
        <f t="shared" ref="I3:I4" si="0">E3-B3</f>
        <v>95</v>
      </c>
      <c r="J3" s="6"/>
      <c r="K3" s="5">
        <f>G3/B3</f>
        <v>0</v>
      </c>
      <c r="L3" s="5">
        <f>H3/B3</f>
        <v>0</v>
      </c>
      <c r="M3" s="5">
        <f t="shared" ref="M3:M4" si="1">I3/B3</f>
        <v>1.1875</v>
      </c>
      <c r="N3" s="6"/>
    </row>
    <row r="4" spans="1:14" x14ac:dyDescent="0.2">
      <c r="A4" s="3" t="s">
        <v>8</v>
      </c>
      <c r="B4" s="1">
        <v>0.34499999999999997</v>
      </c>
      <c r="C4" s="1">
        <v>4.6390000000000002</v>
      </c>
      <c r="D4" s="10">
        <v>7.5369999999999999</v>
      </c>
      <c r="E4" s="2">
        <v>4.5999999999999999E-2</v>
      </c>
      <c r="F4" s="6"/>
      <c r="G4" s="1">
        <f>C4-B4</f>
        <v>4.2940000000000005</v>
      </c>
      <c r="H4" s="1">
        <f t="shared" ref="H4:H5" si="2">C4-B4</f>
        <v>4.2940000000000005</v>
      </c>
      <c r="I4" s="1">
        <f t="shared" si="0"/>
        <v>-0.29899999999999999</v>
      </c>
      <c r="J4" s="6"/>
      <c r="K4" s="5">
        <f>G4/B4</f>
        <v>12.446376811594206</v>
      </c>
      <c r="L4" s="5">
        <f>H4/B4</f>
        <v>12.446376811594206</v>
      </c>
      <c r="M4" s="5">
        <f t="shared" si="1"/>
        <v>-0.8666666666666667</v>
      </c>
      <c r="N4" s="6"/>
    </row>
    <row r="5" spans="1:14" x14ac:dyDescent="0.2">
      <c r="A5" s="3" t="s">
        <v>9</v>
      </c>
      <c r="B5" s="1">
        <v>82.27</v>
      </c>
      <c r="C5" s="1">
        <v>127.23</v>
      </c>
      <c r="D5" s="14">
        <v>176.43</v>
      </c>
      <c r="E5" s="14"/>
      <c r="F5" s="6"/>
      <c r="G5" s="1">
        <f>C5-B5</f>
        <v>44.960000000000008</v>
      </c>
      <c r="H5" s="1">
        <f t="shared" si="2"/>
        <v>44.960000000000008</v>
      </c>
      <c r="I5" s="1">
        <f>D5-B5</f>
        <v>94.160000000000011</v>
      </c>
      <c r="J5" s="6"/>
      <c r="K5" s="5">
        <f>G5/B5</f>
        <v>0.54649325392001957</v>
      </c>
      <c r="L5" s="5">
        <f>H5/B5</f>
        <v>0.54649325392001957</v>
      </c>
      <c r="M5" s="5">
        <f>I5/B5</f>
        <v>1.1445241278716423</v>
      </c>
      <c r="N5" s="6"/>
    </row>
    <row r="6" spans="1:14" x14ac:dyDescent="0.2">
      <c r="A6" s="7"/>
      <c r="B6" s="8"/>
      <c r="C6" s="8"/>
      <c r="D6" s="12"/>
      <c r="E6" s="9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3657</v>
      </c>
      <c r="C7" s="1">
        <v>3749</v>
      </c>
      <c r="D7" s="14">
        <v>3904</v>
      </c>
      <c r="E7" s="14"/>
      <c r="F7" s="6"/>
      <c r="G7" s="1">
        <f>C7-B7</f>
        <v>92</v>
      </c>
      <c r="H7" s="1">
        <f>C7-B7</f>
        <v>92</v>
      </c>
      <c r="I7" s="1">
        <f>D7-B7</f>
        <v>247</v>
      </c>
      <c r="J7" s="6"/>
      <c r="K7" s="5">
        <f>G7/B7</f>
        <v>2.5157232704402517E-2</v>
      </c>
      <c r="L7" s="5">
        <f>H7/B7</f>
        <v>2.5157232704402517E-2</v>
      </c>
      <c r="M7" s="5">
        <f t="shared" ref="M7:M9" si="3">I7/B7</f>
        <v>6.7541700847689359E-2</v>
      </c>
      <c r="N7" s="6"/>
    </row>
    <row r="8" spans="1:14" x14ac:dyDescent="0.2">
      <c r="A8" s="3" t="s">
        <v>6</v>
      </c>
      <c r="B8" s="1">
        <v>9514</v>
      </c>
      <c r="C8" s="1">
        <v>9569</v>
      </c>
      <c r="D8" s="14">
        <v>10548</v>
      </c>
      <c r="E8" s="14"/>
      <c r="F8" s="6"/>
      <c r="G8" s="1">
        <f>C8-B8</f>
        <v>55</v>
      </c>
      <c r="H8" s="1">
        <f t="shared" ref="H8:H10" si="4">C8-B8</f>
        <v>55</v>
      </c>
      <c r="I8" s="1">
        <f>D8-B8</f>
        <v>1034</v>
      </c>
      <c r="J8" s="6"/>
      <c r="K8" s="5">
        <f>G8/B8</f>
        <v>5.7809543830145051E-3</v>
      </c>
      <c r="L8" s="5">
        <f>H8/B8</f>
        <v>5.7809543830145051E-3</v>
      </c>
      <c r="M8" s="5">
        <f t="shared" si="3"/>
        <v>0.10868194240067269</v>
      </c>
      <c r="N8" s="6"/>
    </row>
    <row r="9" spans="1:14" x14ac:dyDescent="0.2">
      <c r="A9" s="3" t="s">
        <v>11</v>
      </c>
      <c r="B9" s="1">
        <v>1826637</v>
      </c>
      <c r="C9" s="1">
        <v>1826637</v>
      </c>
      <c r="D9" s="14">
        <v>1826637</v>
      </c>
      <c r="E9" s="14"/>
      <c r="F9" s="6"/>
      <c r="G9" s="1">
        <f>C9-B9</f>
        <v>0</v>
      </c>
      <c r="H9" s="1">
        <f t="shared" si="4"/>
        <v>0</v>
      </c>
      <c r="I9" s="1">
        <f>D9-B9</f>
        <v>0</v>
      </c>
      <c r="J9" s="6"/>
      <c r="K9" s="5">
        <f>G9/B9</f>
        <v>0</v>
      </c>
      <c r="L9" s="5">
        <f>H9/B9</f>
        <v>0</v>
      </c>
      <c r="M9" s="5">
        <f t="shared" si="3"/>
        <v>0</v>
      </c>
      <c r="N9" s="6"/>
    </row>
    <row r="10" spans="1:14" x14ac:dyDescent="0.2">
      <c r="A10" s="3" t="s">
        <v>7</v>
      </c>
      <c r="B10" s="2">
        <v>10</v>
      </c>
      <c r="C10" s="2">
        <v>10</v>
      </c>
      <c r="D10" s="14">
        <v>10</v>
      </c>
      <c r="E10" s="14"/>
      <c r="F10" s="6"/>
      <c r="G10" s="1">
        <f>C10-B10</f>
        <v>0</v>
      </c>
      <c r="H10" s="1">
        <f t="shared" si="4"/>
        <v>0</v>
      </c>
      <c r="I10" s="1">
        <f>D10-B10</f>
        <v>0</v>
      </c>
      <c r="J10" s="6"/>
      <c r="K10" s="5">
        <f>G10/B10</f>
        <v>0</v>
      </c>
      <c r="L10" s="5">
        <f>H10/B10</f>
        <v>0</v>
      </c>
      <c r="M10" s="5">
        <f>I10/B10</f>
        <v>0</v>
      </c>
      <c r="N10" s="6"/>
    </row>
    <row r="11" spans="1:14" x14ac:dyDescent="0.2">
      <c r="A11" s="7"/>
      <c r="B11" s="8"/>
      <c r="C11" s="8"/>
      <c r="D11" s="12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802.17</v>
      </c>
      <c r="C12" s="1">
        <v>591.91999999999996</v>
      </c>
      <c r="D12" s="11">
        <v>601.48</v>
      </c>
      <c r="E12" s="1">
        <v>812.33</v>
      </c>
      <c r="F12" s="6"/>
      <c r="G12" s="1">
        <f t="shared" ref="G12:G27" si="5">C12-B12</f>
        <v>-210.25</v>
      </c>
      <c r="H12" s="1">
        <f>C12-B12</f>
        <v>-210.25</v>
      </c>
      <c r="I12" s="1">
        <f t="shared" ref="I12:I27" si="6">E12-B12</f>
        <v>10.160000000000082</v>
      </c>
      <c r="J12" s="6"/>
      <c r="K12" s="5">
        <f t="shared" ref="K12:K27" si="7">G12/B12</f>
        <v>-0.26210154954685416</v>
      </c>
      <c r="L12" s="5">
        <f t="shared" ref="L12:L27" si="8">H12/B12</f>
        <v>-0.26210154954685416</v>
      </c>
      <c r="M12" s="5">
        <f t="shared" ref="M12:M27" si="9">I12/B12</f>
        <v>1.2665644439458073E-2</v>
      </c>
      <c r="N12" s="6"/>
    </row>
    <row r="13" spans="1:14" x14ac:dyDescent="0.2">
      <c r="A13" s="3" t="s">
        <v>13</v>
      </c>
      <c r="B13" s="1">
        <v>371.55</v>
      </c>
      <c r="C13" s="1">
        <v>164.97</v>
      </c>
      <c r="D13" s="11">
        <v>174.46</v>
      </c>
      <c r="E13" s="1">
        <v>381.65</v>
      </c>
      <c r="F13" s="6"/>
      <c r="G13" s="1">
        <f t="shared" si="5"/>
        <v>-206.58</v>
      </c>
      <c r="H13" s="1">
        <f t="shared" ref="H13:H27" si="10">C13-B13</f>
        <v>-206.58</v>
      </c>
      <c r="I13" s="1">
        <f t="shared" si="6"/>
        <v>10.099999999999966</v>
      </c>
      <c r="J13" s="6"/>
      <c r="K13" s="5">
        <f t="shared" si="7"/>
        <v>-0.55599515542995559</v>
      </c>
      <c r="L13" s="5">
        <f t="shared" si="8"/>
        <v>-0.55599515542995559</v>
      </c>
      <c r="M13" s="5">
        <f t="shared" si="9"/>
        <v>2.7183420804736819E-2</v>
      </c>
      <c r="N13" s="6"/>
    </row>
    <row r="14" spans="1:14" x14ac:dyDescent="0.2">
      <c r="A14" s="3" t="s">
        <v>14</v>
      </c>
      <c r="B14" s="1">
        <v>415.78</v>
      </c>
      <c r="C14" s="1">
        <v>414.49</v>
      </c>
      <c r="D14" s="11">
        <v>414.55</v>
      </c>
      <c r="E14" s="1">
        <v>415.84</v>
      </c>
      <c r="F14" s="6"/>
      <c r="G14" s="1">
        <f t="shared" si="5"/>
        <v>-1.2899999999999636</v>
      </c>
      <c r="H14" s="1">
        <f t="shared" si="10"/>
        <v>-1.2899999999999636</v>
      </c>
      <c r="I14" s="1">
        <f t="shared" si="6"/>
        <v>6.0000000000002274E-2</v>
      </c>
      <c r="J14" s="6"/>
      <c r="K14" s="5">
        <f t="shared" si="7"/>
        <v>-3.1026023377746974E-3</v>
      </c>
      <c r="L14" s="5">
        <f t="shared" si="8"/>
        <v>-3.1026023377746974E-3</v>
      </c>
      <c r="M14" s="5">
        <f t="shared" si="9"/>
        <v>1.4430708547790244E-4</v>
      </c>
      <c r="N14" s="6"/>
    </row>
    <row r="15" spans="1:14" x14ac:dyDescent="0.2">
      <c r="A15" s="3" t="s">
        <v>15</v>
      </c>
      <c r="B15" s="1">
        <v>14.84</v>
      </c>
      <c r="C15" s="1">
        <v>12.46</v>
      </c>
      <c r="D15" s="11">
        <v>12.47</v>
      </c>
      <c r="E15" s="1">
        <v>14.84</v>
      </c>
      <c r="F15" s="6"/>
      <c r="G15" s="1">
        <f t="shared" si="5"/>
        <v>-2.379999999999999</v>
      </c>
      <c r="H15" s="1">
        <f t="shared" si="10"/>
        <v>-2.379999999999999</v>
      </c>
      <c r="I15" s="1">
        <f t="shared" si="6"/>
        <v>0</v>
      </c>
      <c r="J15" s="6"/>
      <c r="K15" s="5">
        <f t="shared" si="7"/>
        <v>-0.16037735849056597</v>
      </c>
      <c r="L15" s="5">
        <f t="shared" si="8"/>
        <v>-0.16037735849056597</v>
      </c>
      <c r="M15" s="5">
        <f t="shared" si="9"/>
        <v>0</v>
      </c>
      <c r="N15" s="6"/>
    </row>
    <row r="16" spans="1:14" x14ac:dyDescent="0.2">
      <c r="A16" s="3" t="s">
        <v>17</v>
      </c>
      <c r="B16" s="1">
        <v>378.39</v>
      </c>
      <c r="C16" s="1">
        <v>169.43</v>
      </c>
      <c r="D16" s="11">
        <v>178.93</v>
      </c>
      <c r="E16" s="1">
        <v>388.49</v>
      </c>
      <c r="F16" s="6"/>
      <c r="G16" s="1">
        <f t="shared" si="5"/>
        <v>-208.95999999999998</v>
      </c>
      <c r="H16" s="1">
        <f t="shared" si="10"/>
        <v>-208.95999999999998</v>
      </c>
      <c r="I16" s="1">
        <f t="shared" si="6"/>
        <v>10.100000000000023</v>
      </c>
      <c r="J16" s="6"/>
      <c r="K16" s="5">
        <f t="shared" si="7"/>
        <v>-0.55223446708422519</v>
      </c>
      <c r="L16" s="5">
        <f t="shared" si="8"/>
        <v>-0.55223446708422519</v>
      </c>
      <c r="M16" s="5">
        <f t="shared" si="9"/>
        <v>2.6692037315996783E-2</v>
      </c>
      <c r="N16" s="6"/>
    </row>
    <row r="17" spans="1:14" x14ac:dyDescent="0.2">
      <c r="A17" s="3" t="s">
        <v>16</v>
      </c>
      <c r="B17" s="1">
        <v>274.87</v>
      </c>
      <c r="C17" s="1">
        <v>123.31</v>
      </c>
      <c r="D17" s="11">
        <v>127.18</v>
      </c>
      <c r="E17" s="1">
        <v>278.20999999999998</v>
      </c>
      <c r="F17" s="6"/>
      <c r="G17" s="1">
        <f t="shared" si="5"/>
        <v>-151.56</v>
      </c>
      <c r="H17" s="1">
        <f t="shared" si="10"/>
        <v>-151.56</v>
      </c>
      <c r="I17" s="1">
        <f t="shared" si="6"/>
        <v>3.339999999999975</v>
      </c>
      <c r="J17" s="6"/>
      <c r="K17" s="5">
        <f t="shared" si="7"/>
        <v>-0.5513879288390876</v>
      </c>
      <c r="L17" s="5">
        <f t="shared" si="8"/>
        <v>-0.5513879288390876</v>
      </c>
      <c r="M17" s="5">
        <f t="shared" si="9"/>
        <v>1.2151198748499199E-2</v>
      </c>
      <c r="N17" s="6"/>
    </row>
    <row r="18" spans="1:14" x14ac:dyDescent="0.2">
      <c r="A18" s="3" t="s">
        <v>22</v>
      </c>
      <c r="B18" s="1">
        <v>256.22000000000003</v>
      </c>
      <c r="C18" s="1">
        <v>116.03</v>
      </c>
      <c r="D18" s="11">
        <v>84.89</v>
      </c>
      <c r="E18" s="1">
        <v>185.7</v>
      </c>
      <c r="F18" s="6"/>
      <c r="G18" s="1">
        <f t="shared" si="5"/>
        <v>-140.19000000000003</v>
      </c>
      <c r="H18" s="1">
        <f t="shared" si="10"/>
        <v>-140.19000000000003</v>
      </c>
      <c r="I18" s="1">
        <f t="shared" si="6"/>
        <v>-70.520000000000039</v>
      </c>
      <c r="J18" s="6"/>
      <c r="K18" s="5">
        <f t="shared" si="7"/>
        <v>-0.54714698306143161</v>
      </c>
      <c r="L18" s="5">
        <f t="shared" si="8"/>
        <v>-0.54714698306143161</v>
      </c>
      <c r="M18" s="5">
        <f t="shared" si="9"/>
        <v>-0.27523222230895339</v>
      </c>
      <c r="N18" s="6"/>
    </row>
    <row r="19" spans="1:14" x14ac:dyDescent="0.2">
      <c r="A19" s="3" t="s">
        <v>23</v>
      </c>
      <c r="B19" s="1">
        <v>232.25</v>
      </c>
      <c r="C19" s="1">
        <v>105.47</v>
      </c>
      <c r="D19" s="11">
        <v>75.67</v>
      </c>
      <c r="E19" s="1">
        <v>165.53</v>
      </c>
      <c r="F19" s="6"/>
      <c r="G19" s="1">
        <f t="shared" si="5"/>
        <v>-126.78</v>
      </c>
      <c r="H19" s="1">
        <f t="shared" si="10"/>
        <v>-126.78</v>
      </c>
      <c r="I19" s="1">
        <f t="shared" si="6"/>
        <v>-66.72</v>
      </c>
      <c r="J19" s="6"/>
      <c r="K19" s="5">
        <f t="shared" si="7"/>
        <v>-0.54587728740581276</v>
      </c>
      <c r="L19" s="5">
        <f t="shared" si="8"/>
        <v>-0.54587728740581276</v>
      </c>
      <c r="M19" s="5">
        <f t="shared" si="9"/>
        <v>-0.28727664155005384</v>
      </c>
      <c r="N19" s="6"/>
    </row>
    <row r="20" spans="1:14" x14ac:dyDescent="0.2">
      <c r="A20" s="3" t="s">
        <v>20</v>
      </c>
      <c r="B20" s="1">
        <v>6.74</v>
      </c>
      <c r="C20" s="1">
        <v>2.63</v>
      </c>
      <c r="D20" s="11">
        <v>33.36</v>
      </c>
      <c r="E20" s="1">
        <v>72.97</v>
      </c>
      <c r="F20" s="6"/>
      <c r="G20" s="1">
        <f t="shared" si="5"/>
        <v>-4.1100000000000003</v>
      </c>
      <c r="H20" s="1">
        <f t="shared" si="10"/>
        <v>-4.1100000000000003</v>
      </c>
      <c r="I20" s="1">
        <f t="shared" si="6"/>
        <v>66.23</v>
      </c>
      <c r="J20" s="6"/>
      <c r="K20" s="5">
        <f t="shared" si="7"/>
        <v>-0.60979228486646886</v>
      </c>
      <c r="L20" s="5">
        <f t="shared" si="8"/>
        <v>-0.60979228486646886</v>
      </c>
      <c r="M20" s="5">
        <f t="shared" si="9"/>
        <v>9.8264094955489618</v>
      </c>
      <c r="N20" s="6"/>
    </row>
    <row r="21" spans="1:14" x14ac:dyDescent="0.2">
      <c r="A21" s="3" t="s">
        <v>21</v>
      </c>
      <c r="B21" s="1">
        <v>2.78</v>
      </c>
      <c r="C21" s="1">
        <v>1.07</v>
      </c>
      <c r="D21" s="11">
        <v>31.56</v>
      </c>
      <c r="E21" s="1">
        <v>69.03</v>
      </c>
      <c r="F21" s="6"/>
      <c r="G21" s="1">
        <f t="shared" si="5"/>
        <v>-1.7099999999999997</v>
      </c>
      <c r="H21" s="1">
        <f t="shared" si="10"/>
        <v>-1.7099999999999997</v>
      </c>
      <c r="I21" s="1">
        <f t="shared" si="6"/>
        <v>66.25</v>
      </c>
      <c r="J21" s="6"/>
      <c r="K21" s="5">
        <f t="shared" si="7"/>
        <v>-0.6151079136690647</v>
      </c>
      <c r="L21" s="5">
        <f t="shared" si="8"/>
        <v>-0.6151079136690647</v>
      </c>
      <c r="M21" s="5">
        <f t="shared" si="9"/>
        <v>23.830935251798564</v>
      </c>
      <c r="N21" s="6"/>
    </row>
    <row r="22" spans="1:14" x14ac:dyDescent="0.2">
      <c r="A22" s="3" t="s">
        <v>24</v>
      </c>
      <c r="B22" s="1">
        <v>10.63</v>
      </c>
      <c r="C22" s="1">
        <v>2.97</v>
      </c>
      <c r="D22" s="11">
        <v>6.17</v>
      </c>
      <c r="E22" s="1">
        <v>13.5</v>
      </c>
      <c r="F22" s="6"/>
      <c r="G22" s="1">
        <f t="shared" si="5"/>
        <v>-7.66</v>
      </c>
      <c r="H22" s="1">
        <f t="shared" si="10"/>
        <v>-7.66</v>
      </c>
      <c r="I22" s="1">
        <f t="shared" si="6"/>
        <v>2.8699999999999992</v>
      </c>
      <c r="J22" s="6"/>
      <c r="K22" s="5">
        <f t="shared" si="7"/>
        <v>-0.72060206961429907</v>
      </c>
      <c r="L22" s="5">
        <f t="shared" si="8"/>
        <v>-0.72060206961429907</v>
      </c>
      <c r="M22" s="5">
        <f t="shared" si="9"/>
        <v>0.26999059266227649</v>
      </c>
      <c r="N22" s="6"/>
    </row>
    <row r="23" spans="1:14" x14ac:dyDescent="0.2">
      <c r="A23" s="3" t="s">
        <v>25</v>
      </c>
      <c r="B23" s="1">
        <v>6.41</v>
      </c>
      <c r="C23" s="1">
        <v>1.48</v>
      </c>
      <c r="D23" s="11">
        <v>3.13</v>
      </c>
      <c r="E23" s="1">
        <v>6.85</v>
      </c>
      <c r="F23" s="6"/>
      <c r="G23" s="1">
        <f t="shared" si="5"/>
        <v>-4.93</v>
      </c>
      <c r="H23" s="1">
        <f t="shared" si="10"/>
        <v>-4.93</v>
      </c>
      <c r="I23" s="1">
        <f t="shared" si="6"/>
        <v>0.4399999999999995</v>
      </c>
      <c r="J23" s="6"/>
      <c r="K23" s="5">
        <f t="shared" si="7"/>
        <v>-0.76911076443057713</v>
      </c>
      <c r="L23" s="5">
        <f t="shared" si="8"/>
        <v>-0.76911076443057713</v>
      </c>
      <c r="M23" s="5">
        <f t="shared" si="9"/>
        <v>6.8642745709828312E-2</v>
      </c>
      <c r="N23" s="6"/>
    </row>
    <row r="24" spans="1:14" x14ac:dyDescent="0.2">
      <c r="A24" s="3" t="s">
        <v>29</v>
      </c>
      <c r="B24" s="1">
        <v>13.81</v>
      </c>
      <c r="C24" s="1">
        <v>8.4</v>
      </c>
      <c r="D24" s="11">
        <v>9.67</v>
      </c>
      <c r="E24" s="1">
        <v>21.14</v>
      </c>
      <c r="F24" s="6"/>
      <c r="G24" s="1">
        <f t="shared" si="5"/>
        <v>-5.41</v>
      </c>
      <c r="H24" s="1">
        <f t="shared" si="10"/>
        <v>-5.41</v>
      </c>
      <c r="I24" s="1">
        <f t="shared" si="6"/>
        <v>7.33</v>
      </c>
      <c r="J24" s="6"/>
      <c r="K24" s="5">
        <f t="shared" si="7"/>
        <v>-0.39174511223750907</v>
      </c>
      <c r="L24" s="5">
        <f t="shared" si="8"/>
        <v>-0.39174511223750907</v>
      </c>
      <c r="M24" s="5">
        <f t="shared" si="9"/>
        <v>0.53077480086893558</v>
      </c>
      <c r="N24" s="6"/>
    </row>
    <row r="25" spans="1:14" x14ac:dyDescent="0.2">
      <c r="A25" s="3" t="s">
        <v>26</v>
      </c>
      <c r="B25" s="1">
        <v>8.57</v>
      </c>
      <c r="C25" s="1">
        <v>4.68</v>
      </c>
      <c r="D25" s="11">
        <v>5.42</v>
      </c>
      <c r="E25" s="1">
        <v>11.85</v>
      </c>
      <c r="F25" s="6"/>
      <c r="G25" s="1">
        <f t="shared" si="5"/>
        <v>-3.8900000000000006</v>
      </c>
      <c r="H25" s="1">
        <f t="shared" si="10"/>
        <v>-3.8900000000000006</v>
      </c>
      <c r="I25" s="1">
        <f t="shared" si="6"/>
        <v>3.2799999999999994</v>
      </c>
      <c r="J25" s="6"/>
      <c r="K25" s="5">
        <f t="shared" si="7"/>
        <v>-0.45390898483080516</v>
      </c>
      <c r="L25" s="5">
        <f t="shared" si="8"/>
        <v>-0.45390898483080516</v>
      </c>
      <c r="M25" s="5">
        <f t="shared" si="9"/>
        <v>0.38273045507584591</v>
      </c>
      <c r="N25" s="6"/>
    </row>
    <row r="26" spans="1:14" x14ac:dyDescent="0.2">
      <c r="A26" s="3" t="s">
        <v>27</v>
      </c>
      <c r="B26" s="1">
        <v>6.36</v>
      </c>
      <c r="C26" s="1">
        <v>2.75</v>
      </c>
      <c r="D26" s="11">
        <v>3</v>
      </c>
      <c r="E26" s="1">
        <v>6.56</v>
      </c>
      <c r="F26" s="6"/>
      <c r="G26" s="1">
        <f t="shared" si="5"/>
        <v>-3.6100000000000003</v>
      </c>
      <c r="H26" s="1">
        <f t="shared" si="10"/>
        <v>-3.6100000000000003</v>
      </c>
      <c r="I26" s="1">
        <f t="shared" si="6"/>
        <v>0.19999999999999929</v>
      </c>
      <c r="J26" s="6"/>
      <c r="K26" s="5">
        <f t="shared" si="7"/>
        <v>-0.5676100628930818</v>
      </c>
      <c r="L26" s="5">
        <f t="shared" si="8"/>
        <v>-0.5676100628930818</v>
      </c>
      <c r="M26" s="5">
        <f t="shared" si="9"/>
        <v>3.1446540880503034E-2</v>
      </c>
      <c r="N26" s="6"/>
    </row>
    <row r="27" spans="1:14" x14ac:dyDescent="0.2">
      <c r="A27" s="3" t="s">
        <v>28</v>
      </c>
      <c r="B27" s="1">
        <v>4.97</v>
      </c>
      <c r="C27" s="1">
        <v>2.08</v>
      </c>
      <c r="D27" s="11">
        <v>2.35</v>
      </c>
      <c r="E27" s="1">
        <v>5.14</v>
      </c>
      <c r="F27" s="6"/>
      <c r="G27" s="1">
        <f t="shared" si="5"/>
        <v>-2.8899999999999997</v>
      </c>
      <c r="H27" s="1">
        <f t="shared" si="10"/>
        <v>-2.8899999999999997</v>
      </c>
      <c r="I27" s="1">
        <f t="shared" si="6"/>
        <v>0.16999999999999993</v>
      </c>
      <c r="J27" s="6"/>
      <c r="K27" s="5">
        <f t="shared" si="7"/>
        <v>-0.58148893360160958</v>
      </c>
      <c r="L27" s="5">
        <f t="shared" si="8"/>
        <v>-0.58148893360160958</v>
      </c>
      <c r="M27" s="5">
        <f t="shared" si="9"/>
        <v>3.4205231388329968E-2</v>
      </c>
      <c r="N27" s="6"/>
    </row>
    <row r="28" spans="1:14" x14ac:dyDescent="0.2">
      <c r="A28" s="3" t="s">
        <v>18</v>
      </c>
      <c r="B28" s="1" t="s">
        <v>80</v>
      </c>
      <c r="C28" s="1">
        <v>11</v>
      </c>
      <c r="D28" s="11">
        <v>12.28</v>
      </c>
      <c r="E28" s="1">
        <v>26.87</v>
      </c>
      <c r="F28" s="6"/>
      <c r="G28" s="1" t="e">
        <f>C28-B28</f>
        <v>#VALUE!</v>
      </c>
      <c r="H28" s="1" t="e">
        <f>C28-B28</f>
        <v>#VALUE!</v>
      </c>
      <c r="I28" s="1" t="e">
        <f>E28-B28</f>
        <v>#VALUE!</v>
      </c>
      <c r="J28" s="6"/>
      <c r="K28" s="5" t="e">
        <f>G28/B28</f>
        <v>#VALUE!</v>
      </c>
      <c r="L28" s="5" t="e">
        <f>H28/B28</f>
        <v>#VALUE!</v>
      </c>
      <c r="M28" s="5" t="e">
        <f>I28/B28</f>
        <v>#VALUE!</v>
      </c>
      <c r="N28" s="6"/>
    </row>
    <row r="29" spans="1:14" x14ac:dyDescent="0.2">
      <c r="A29" s="3" t="s">
        <v>19</v>
      </c>
      <c r="B29" s="1">
        <v>15.34</v>
      </c>
      <c r="C29" s="1">
        <v>6.49</v>
      </c>
      <c r="D29" s="11">
        <v>6.98</v>
      </c>
      <c r="E29" s="1">
        <v>15.27</v>
      </c>
      <c r="F29" s="6"/>
      <c r="G29" s="1">
        <f>C29-B29</f>
        <v>-8.85</v>
      </c>
      <c r="H29" s="1">
        <f>C29-B29</f>
        <v>-8.85</v>
      </c>
      <c r="I29" s="1">
        <f>E29-B29</f>
        <v>-7.0000000000000284E-2</v>
      </c>
      <c r="J29" s="6"/>
      <c r="K29" s="5">
        <f>G29/B29</f>
        <v>-0.57692307692307687</v>
      </c>
      <c r="L29" s="5">
        <f>H29/B29</f>
        <v>-0.57692307692307687</v>
      </c>
      <c r="M29" s="5">
        <f>I29/B29</f>
        <v>-4.5632333767927176E-3</v>
      </c>
      <c r="N29" s="6"/>
    </row>
    <row r="30" spans="1:14" x14ac:dyDescent="0.2">
      <c r="A30" s="7"/>
      <c r="B30" s="8"/>
      <c r="C30" s="8"/>
      <c r="D30" s="12"/>
      <c r="E30" s="8"/>
      <c r="F30" s="6"/>
      <c r="G30" s="8"/>
      <c r="H30" s="8"/>
      <c r="I30" s="8"/>
      <c r="J30" s="6"/>
      <c r="K30" s="8"/>
      <c r="L30" s="8"/>
      <c r="M30" s="8"/>
      <c r="N30" s="6"/>
    </row>
    <row r="31" spans="1:14" x14ac:dyDescent="0.2">
      <c r="A31" s="3" t="s">
        <v>68</v>
      </c>
      <c r="B31" s="15" t="s">
        <v>69</v>
      </c>
      <c r="C31" s="15"/>
      <c r="D31" s="15"/>
      <c r="E31" s="15"/>
      <c r="F31" s="6"/>
      <c r="G31" s="15" t="s">
        <v>70</v>
      </c>
      <c r="H31" s="15"/>
      <c r="I31" s="15"/>
      <c r="J31" s="6"/>
      <c r="K31" s="15" t="s">
        <v>70</v>
      </c>
      <c r="L31" s="15"/>
      <c r="M31" s="15"/>
      <c r="N31" s="6"/>
    </row>
    <row r="32" spans="1:14" x14ac:dyDescent="0.2">
      <c r="A32" s="3" t="s">
        <v>30</v>
      </c>
      <c r="B32" s="1">
        <v>0.47220600000000001</v>
      </c>
      <c r="C32" s="15">
        <v>2.0300199999999999</v>
      </c>
      <c r="D32" s="15"/>
      <c r="E32" s="15"/>
      <c r="F32" s="6"/>
      <c r="G32" s="15">
        <f t="shared" ref="G32:G43" si="11">C32-B32</f>
        <v>1.557814</v>
      </c>
      <c r="H32" s="15"/>
      <c r="I32" s="15"/>
      <c r="J32" s="6"/>
      <c r="K32" s="13">
        <f>G32/B32</f>
        <v>3.2990135661130946</v>
      </c>
      <c r="L32" s="13"/>
      <c r="M32" s="13"/>
      <c r="N32" s="6"/>
    </row>
    <row r="33" spans="1:14" x14ac:dyDescent="0.2">
      <c r="A33" s="3" t="s">
        <v>31</v>
      </c>
      <c r="B33" s="1">
        <v>0.34537499999999999</v>
      </c>
      <c r="C33" s="15">
        <v>0.93694299999999997</v>
      </c>
      <c r="D33" s="15"/>
      <c r="E33" s="15"/>
      <c r="F33" s="6"/>
      <c r="G33" s="15">
        <f t="shared" si="11"/>
        <v>0.59156799999999998</v>
      </c>
      <c r="H33" s="15"/>
      <c r="I33" s="15"/>
      <c r="J33" s="6"/>
      <c r="K33" s="13">
        <f t="shared" ref="K33:K43" si="12">G33/B33</f>
        <v>1.7128280854144047</v>
      </c>
      <c r="L33" s="13"/>
      <c r="M33" s="13"/>
      <c r="N33" s="6"/>
    </row>
    <row r="34" spans="1:14" x14ac:dyDescent="0.2">
      <c r="A34" s="3" t="s">
        <v>32</v>
      </c>
      <c r="B34" s="1">
        <v>0</v>
      </c>
      <c r="C34" s="15">
        <v>1</v>
      </c>
      <c r="D34" s="15"/>
      <c r="E34" s="15"/>
      <c r="F34" s="6"/>
      <c r="G34" s="15">
        <f t="shared" si="11"/>
        <v>1</v>
      </c>
      <c r="H34" s="15"/>
      <c r="I34" s="15"/>
      <c r="J34" s="6"/>
      <c r="K34" s="13" t="s">
        <v>52</v>
      </c>
      <c r="L34" s="13"/>
      <c r="M34" s="13"/>
      <c r="N34" s="6"/>
    </row>
    <row r="35" spans="1:14" x14ac:dyDescent="0.2">
      <c r="A35" s="3" t="s">
        <v>33</v>
      </c>
      <c r="B35" s="1">
        <v>0</v>
      </c>
      <c r="C35" s="15">
        <v>1</v>
      </c>
      <c r="D35" s="15"/>
      <c r="E35" s="15"/>
      <c r="F35" s="6"/>
      <c r="G35" s="15">
        <f t="shared" si="11"/>
        <v>1</v>
      </c>
      <c r="H35" s="15"/>
      <c r="I35" s="15"/>
      <c r="J35" s="6"/>
      <c r="K35" s="13" t="s">
        <v>52</v>
      </c>
      <c r="L35" s="13"/>
      <c r="M35" s="13"/>
      <c r="N35" s="6"/>
    </row>
    <row r="36" spans="1:14" x14ac:dyDescent="0.2">
      <c r="A36" s="3" t="s">
        <v>34</v>
      </c>
      <c r="B36" s="1">
        <v>-3</v>
      </c>
      <c r="C36" s="15">
        <v>-1</v>
      </c>
      <c r="D36" s="15"/>
      <c r="E36" s="15"/>
      <c r="F36" s="6"/>
      <c r="G36" s="15">
        <f t="shared" si="11"/>
        <v>2</v>
      </c>
      <c r="H36" s="15"/>
      <c r="I36" s="15"/>
      <c r="J36" s="6"/>
      <c r="K36" s="13">
        <f t="shared" si="12"/>
        <v>-0.66666666666666663</v>
      </c>
      <c r="L36" s="13"/>
      <c r="M36" s="13"/>
      <c r="N36" s="6"/>
    </row>
    <row r="37" spans="1:14" x14ac:dyDescent="0.2">
      <c r="A37" s="3" t="s">
        <v>35</v>
      </c>
      <c r="B37" s="1">
        <v>1</v>
      </c>
      <c r="C37" s="15">
        <v>6</v>
      </c>
      <c r="D37" s="15"/>
      <c r="E37" s="15"/>
      <c r="F37" s="6"/>
      <c r="G37" s="15">
        <f t="shared" si="11"/>
        <v>5</v>
      </c>
      <c r="H37" s="15"/>
      <c r="I37" s="15"/>
      <c r="J37" s="6"/>
      <c r="K37" s="13">
        <f t="shared" si="12"/>
        <v>5</v>
      </c>
      <c r="L37" s="13"/>
      <c r="M37" s="13"/>
      <c r="N37" s="6"/>
    </row>
    <row r="38" spans="1:14" x14ac:dyDescent="0.2">
      <c r="A38" s="3" t="s">
        <v>36</v>
      </c>
      <c r="B38" s="1">
        <v>7.6174229999999996</v>
      </c>
      <c r="C38" s="15">
        <v>7.1623809999999999</v>
      </c>
      <c r="D38" s="15"/>
      <c r="E38" s="15"/>
      <c r="F38" s="6"/>
      <c r="G38" s="15">
        <f t="shared" si="11"/>
        <v>-0.45504199999999972</v>
      </c>
      <c r="H38" s="15"/>
      <c r="I38" s="15"/>
      <c r="J38" s="6"/>
      <c r="K38" s="13">
        <f t="shared" si="12"/>
        <v>-5.9737000295244175E-2</v>
      </c>
      <c r="L38" s="13"/>
      <c r="M38" s="13"/>
      <c r="N38" s="6"/>
    </row>
    <row r="39" spans="1:14" x14ac:dyDescent="0.2">
      <c r="A39" s="3" t="s">
        <v>37</v>
      </c>
      <c r="B39" s="1">
        <v>8</v>
      </c>
      <c r="C39" s="15">
        <v>7</v>
      </c>
      <c r="D39" s="15"/>
      <c r="E39" s="15"/>
      <c r="F39" s="6"/>
      <c r="G39" s="15">
        <f t="shared" si="11"/>
        <v>-1</v>
      </c>
      <c r="H39" s="15"/>
      <c r="I39" s="15"/>
      <c r="J39" s="6"/>
      <c r="K39" s="13">
        <f t="shared" si="12"/>
        <v>-0.125</v>
      </c>
      <c r="L39" s="13"/>
      <c r="M39" s="13"/>
      <c r="N39" s="6"/>
    </row>
    <row r="40" spans="1:14" x14ac:dyDescent="0.2">
      <c r="A40" s="3" t="s">
        <v>38</v>
      </c>
      <c r="B40" s="1">
        <v>8</v>
      </c>
      <c r="C40" s="15">
        <v>8</v>
      </c>
      <c r="D40" s="15"/>
      <c r="E40" s="15"/>
      <c r="F40" s="6"/>
      <c r="G40" s="15">
        <f t="shared" si="11"/>
        <v>0</v>
      </c>
      <c r="H40" s="15"/>
      <c r="I40" s="15"/>
      <c r="J40" s="6"/>
      <c r="K40" s="13">
        <f t="shared" si="12"/>
        <v>0</v>
      </c>
      <c r="L40" s="13"/>
      <c r="M40" s="13"/>
      <c r="N40" s="6"/>
    </row>
    <row r="41" spans="1:14" x14ac:dyDescent="0.2">
      <c r="A41" s="3" t="s">
        <v>39</v>
      </c>
      <c r="B41" s="1">
        <v>5</v>
      </c>
      <c r="C41" s="15">
        <v>4</v>
      </c>
      <c r="D41" s="15"/>
      <c r="E41" s="15"/>
      <c r="F41" s="6"/>
      <c r="G41" s="15">
        <f t="shared" si="11"/>
        <v>-1</v>
      </c>
      <c r="H41" s="15"/>
      <c r="I41" s="15"/>
      <c r="J41" s="6"/>
      <c r="K41" s="13">
        <f t="shared" si="12"/>
        <v>-0.2</v>
      </c>
      <c r="L41" s="13"/>
      <c r="M41" s="13"/>
      <c r="N41" s="6"/>
    </row>
    <row r="42" spans="1:14" x14ac:dyDescent="0.2">
      <c r="A42" s="3" t="s">
        <v>74</v>
      </c>
      <c r="B42" s="1">
        <v>9909</v>
      </c>
      <c r="C42" s="15">
        <v>5839</v>
      </c>
      <c r="D42" s="15"/>
      <c r="E42" s="15"/>
      <c r="F42" s="6"/>
      <c r="G42" s="15">
        <f t="shared" si="11"/>
        <v>-4070</v>
      </c>
      <c r="H42" s="15"/>
      <c r="I42" s="15"/>
      <c r="J42" s="6"/>
      <c r="K42" s="13">
        <f t="shared" si="12"/>
        <v>-0.41073771319002927</v>
      </c>
      <c r="L42" s="13"/>
      <c r="M42" s="13"/>
      <c r="N42" s="6"/>
    </row>
    <row r="43" spans="1:14" x14ac:dyDescent="0.2">
      <c r="A43" s="3" t="s">
        <v>40</v>
      </c>
      <c r="B43" s="5">
        <v>0.71164894999999995</v>
      </c>
      <c r="C43" s="16">
        <v>0.41934789</v>
      </c>
      <c r="D43" s="16"/>
      <c r="E43" s="16"/>
      <c r="F43" s="6"/>
      <c r="G43" s="15">
        <f t="shared" si="11"/>
        <v>-0.29230105999999995</v>
      </c>
      <c r="H43" s="15"/>
      <c r="I43" s="15"/>
      <c r="J43" s="6"/>
      <c r="K43" s="13">
        <f t="shared" si="12"/>
        <v>-0.41073770993409037</v>
      </c>
      <c r="L43" s="13"/>
      <c r="M43" s="13"/>
      <c r="N43" s="6"/>
    </row>
    <row r="44" spans="1:14" x14ac:dyDescent="0.2">
      <c r="A44" s="7"/>
      <c r="B44" s="8"/>
      <c r="C44" s="8"/>
      <c r="D44" s="12"/>
      <c r="E44" s="8"/>
      <c r="F44" s="6"/>
      <c r="G44" s="8"/>
      <c r="H44" s="8"/>
      <c r="I44" s="8"/>
      <c r="J44" s="6"/>
      <c r="K44" s="8"/>
      <c r="L44" s="8"/>
      <c r="M44" s="8"/>
      <c r="N44" s="6"/>
    </row>
    <row r="45" spans="1:14" x14ac:dyDescent="0.2">
      <c r="A45" s="3" t="s">
        <v>68</v>
      </c>
      <c r="B45" s="15" t="s">
        <v>69</v>
      </c>
      <c r="C45" s="15"/>
      <c r="D45" s="15"/>
      <c r="E45" s="15"/>
      <c r="F45" s="6"/>
      <c r="G45" s="15" t="s">
        <v>70</v>
      </c>
      <c r="H45" s="15"/>
      <c r="I45" s="15"/>
      <c r="J45" s="6"/>
      <c r="K45" s="15" t="s">
        <v>70</v>
      </c>
      <c r="L45" s="15"/>
      <c r="M45" s="15"/>
      <c r="N45" s="6"/>
    </row>
    <row r="46" spans="1:14" x14ac:dyDescent="0.2">
      <c r="A46" s="3" t="s">
        <v>41</v>
      </c>
      <c r="B46" s="1">
        <v>3.8468830000000001</v>
      </c>
      <c r="C46" s="15">
        <v>3.600689</v>
      </c>
      <c r="D46" s="15"/>
      <c r="E46" s="15"/>
      <c r="F46" s="6"/>
      <c r="G46" s="15">
        <f t="shared" ref="G46:G57" si="13">C46-B46</f>
        <v>-0.24619400000000002</v>
      </c>
      <c r="H46" s="15"/>
      <c r="I46" s="15"/>
      <c r="J46" s="6"/>
      <c r="K46" s="13">
        <f>G46/B46</f>
        <v>-6.3998307200920854E-2</v>
      </c>
      <c r="L46" s="13"/>
      <c r="M46" s="13"/>
      <c r="N46" s="6"/>
    </row>
    <row r="47" spans="1:14" x14ac:dyDescent="0.2">
      <c r="A47" s="3" t="s">
        <v>42</v>
      </c>
      <c r="B47" s="1">
        <v>1.9027579999999999</v>
      </c>
      <c r="C47" s="15">
        <v>1.8381209999999999</v>
      </c>
      <c r="D47" s="15"/>
      <c r="E47" s="15"/>
      <c r="F47" s="6"/>
      <c r="G47" s="15">
        <f t="shared" si="13"/>
        <v>-6.4637000000000056E-2</v>
      </c>
      <c r="H47" s="15"/>
      <c r="I47" s="15"/>
      <c r="J47" s="6"/>
      <c r="K47" s="13">
        <f t="shared" ref="K47:K57" si="14">G47/B47</f>
        <v>-3.3970163310310643E-2</v>
      </c>
      <c r="L47" s="13"/>
      <c r="M47" s="13"/>
      <c r="N47" s="6"/>
    </row>
    <row r="48" spans="1:14" x14ac:dyDescent="0.2">
      <c r="A48" s="3" t="s">
        <v>43</v>
      </c>
      <c r="B48" s="1">
        <v>2</v>
      </c>
      <c r="C48" s="15">
        <v>2</v>
      </c>
      <c r="D48" s="15"/>
      <c r="E48" s="15"/>
      <c r="F48" s="6"/>
      <c r="G48" s="15">
        <f t="shared" si="13"/>
        <v>0</v>
      </c>
      <c r="H48" s="15"/>
      <c r="I48" s="15"/>
      <c r="J48" s="6"/>
      <c r="K48" s="13">
        <f t="shared" si="14"/>
        <v>0</v>
      </c>
      <c r="L48" s="13"/>
      <c r="M48" s="13"/>
      <c r="N48" s="6"/>
    </row>
    <row r="49" spans="1:14" x14ac:dyDescent="0.2">
      <c r="A49" s="3" t="s">
        <v>44</v>
      </c>
      <c r="B49" s="1">
        <v>-2</v>
      </c>
      <c r="C49" s="15">
        <v>-2</v>
      </c>
      <c r="D49" s="15"/>
      <c r="E49" s="15"/>
      <c r="F49" s="6"/>
      <c r="G49" s="15">
        <f t="shared" si="13"/>
        <v>0</v>
      </c>
      <c r="H49" s="15"/>
      <c r="I49" s="15"/>
      <c r="J49" s="6"/>
      <c r="K49" s="13">
        <f t="shared" si="14"/>
        <v>0</v>
      </c>
      <c r="L49" s="13"/>
      <c r="M49" s="13"/>
      <c r="N49" s="6"/>
    </row>
    <row r="50" spans="1:14" x14ac:dyDescent="0.2">
      <c r="A50" s="3" t="s">
        <v>45</v>
      </c>
      <c r="B50" s="1">
        <v>-3</v>
      </c>
      <c r="C50" s="15">
        <v>-3</v>
      </c>
      <c r="D50" s="15"/>
      <c r="E50" s="15"/>
      <c r="F50" s="6"/>
      <c r="G50" s="15">
        <f t="shared" si="13"/>
        <v>0</v>
      </c>
      <c r="H50" s="15"/>
      <c r="I50" s="15"/>
      <c r="J50" s="6"/>
      <c r="K50" s="13">
        <f t="shared" si="14"/>
        <v>0</v>
      </c>
      <c r="L50" s="13"/>
      <c r="M50" s="13"/>
      <c r="N50" s="6"/>
    </row>
    <row r="51" spans="1:14" x14ac:dyDescent="0.2">
      <c r="A51" s="3" t="s">
        <v>46</v>
      </c>
      <c r="B51" s="1">
        <v>6</v>
      </c>
      <c r="C51" s="15">
        <v>3</v>
      </c>
      <c r="D51" s="15"/>
      <c r="E51" s="15"/>
      <c r="F51" s="6"/>
      <c r="G51" s="15">
        <f t="shared" si="13"/>
        <v>-3</v>
      </c>
      <c r="H51" s="15"/>
      <c r="I51" s="15"/>
      <c r="J51" s="6"/>
      <c r="K51" s="13">
        <f t="shared" si="14"/>
        <v>-0.5</v>
      </c>
      <c r="L51" s="13"/>
      <c r="M51" s="13"/>
      <c r="N51" s="6"/>
    </row>
    <row r="52" spans="1:14" x14ac:dyDescent="0.2">
      <c r="A52" s="3" t="s">
        <v>47</v>
      </c>
      <c r="B52" s="1">
        <v>6.8182280000000004</v>
      </c>
      <c r="C52" s="15">
        <v>6.8404189999999998</v>
      </c>
      <c r="D52" s="15"/>
      <c r="E52" s="15"/>
      <c r="F52" s="6"/>
      <c r="G52" s="15">
        <f t="shared" si="13"/>
        <v>2.2190999999999406E-2</v>
      </c>
      <c r="H52" s="15"/>
      <c r="I52" s="15"/>
      <c r="J52" s="6"/>
      <c r="K52" s="13">
        <f t="shared" si="14"/>
        <v>3.2546579551166964E-3</v>
      </c>
      <c r="L52" s="13"/>
      <c r="M52" s="13"/>
      <c r="N52" s="6"/>
    </row>
    <row r="53" spans="1:14" x14ac:dyDescent="0.2">
      <c r="A53" s="3" t="s">
        <v>48</v>
      </c>
      <c r="B53" s="1">
        <v>7</v>
      </c>
      <c r="C53" s="15">
        <v>7</v>
      </c>
      <c r="D53" s="15"/>
      <c r="E53" s="15"/>
      <c r="F53" s="6"/>
      <c r="G53" s="15">
        <f t="shared" si="13"/>
        <v>0</v>
      </c>
      <c r="H53" s="15"/>
      <c r="I53" s="15"/>
      <c r="J53" s="6"/>
      <c r="K53" s="13">
        <f t="shared" si="14"/>
        <v>0</v>
      </c>
      <c r="L53" s="13"/>
      <c r="M53" s="13"/>
      <c r="N53" s="6"/>
    </row>
    <row r="54" spans="1:14" x14ac:dyDescent="0.2">
      <c r="A54" s="3" t="s">
        <v>49</v>
      </c>
      <c r="B54" s="1">
        <v>8</v>
      </c>
      <c r="C54" s="15">
        <v>8</v>
      </c>
      <c r="D54" s="15"/>
      <c r="E54" s="15"/>
      <c r="F54" s="6"/>
      <c r="G54" s="15">
        <f t="shared" si="13"/>
        <v>0</v>
      </c>
      <c r="H54" s="15"/>
      <c r="I54" s="15"/>
      <c r="J54" s="6"/>
      <c r="K54" s="13">
        <f t="shared" si="14"/>
        <v>0</v>
      </c>
      <c r="L54" s="13"/>
      <c r="M54" s="13"/>
      <c r="N54" s="6"/>
    </row>
    <row r="55" spans="1:14" x14ac:dyDescent="0.2">
      <c r="A55" s="3" t="s">
        <v>50</v>
      </c>
      <c r="B55" s="1">
        <v>4</v>
      </c>
      <c r="C55" s="15">
        <v>5</v>
      </c>
      <c r="D55" s="15"/>
      <c r="E55" s="15"/>
      <c r="F55" s="6"/>
      <c r="G55" s="15">
        <f t="shared" si="13"/>
        <v>1</v>
      </c>
      <c r="H55" s="15"/>
      <c r="I55" s="15"/>
      <c r="J55" s="6"/>
      <c r="K55" s="13">
        <f t="shared" si="14"/>
        <v>0.25</v>
      </c>
      <c r="L55" s="13"/>
      <c r="M55" s="13"/>
      <c r="N55" s="6"/>
    </row>
    <row r="56" spans="1:14" x14ac:dyDescent="0.2">
      <c r="A56" s="3" t="s">
        <v>75</v>
      </c>
      <c r="B56" s="1">
        <v>191</v>
      </c>
      <c r="C56" s="15">
        <v>265</v>
      </c>
      <c r="D56" s="15"/>
      <c r="E56" s="15"/>
      <c r="F56" s="6"/>
      <c r="G56" s="15">
        <f t="shared" si="13"/>
        <v>74</v>
      </c>
      <c r="H56" s="15"/>
      <c r="I56" s="15"/>
      <c r="J56" s="6"/>
      <c r="K56" s="13">
        <f t="shared" si="14"/>
        <v>0.38743455497382201</v>
      </c>
      <c r="L56" s="13"/>
      <c r="M56" s="13"/>
      <c r="N56" s="6"/>
    </row>
    <row r="57" spans="1:14" x14ac:dyDescent="0.2">
      <c r="A57" s="3" t="s">
        <v>51</v>
      </c>
      <c r="B57" s="5">
        <v>1.371732E-2</v>
      </c>
      <c r="C57" s="13">
        <v>1.9031889999999999E-2</v>
      </c>
      <c r="D57" s="13"/>
      <c r="E57" s="13"/>
      <c r="F57" s="6"/>
      <c r="G57" s="15">
        <f t="shared" si="13"/>
        <v>5.3145699999999994E-3</v>
      </c>
      <c r="H57" s="15"/>
      <c r="I57" s="15"/>
      <c r="J57" s="6"/>
      <c r="K57" s="13">
        <f t="shared" si="14"/>
        <v>0.38743500917088758</v>
      </c>
      <c r="L57" s="13"/>
      <c r="M57" s="13"/>
      <c r="N57" s="6"/>
    </row>
    <row r="58" spans="1:14" x14ac:dyDescent="0.2">
      <c r="A58" s="7"/>
      <c r="B58" s="8"/>
      <c r="C58" s="8"/>
      <c r="D58" s="12"/>
      <c r="E58" s="8"/>
      <c r="F58" s="6"/>
      <c r="G58" s="8"/>
      <c r="H58" s="8"/>
      <c r="I58" s="8"/>
      <c r="J58" s="6"/>
      <c r="K58" s="8"/>
      <c r="L58" s="8"/>
      <c r="M58" s="8"/>
      <c r="N58" s="6"/>
    </row>
    <row r="59" spans="1:14" x14ac:dyDescent="0.2">
      <c r="A59" s="3" t="s">
        <v>68</v>
      </c>
      <c r="B59" s="15" t="s">
        <v>71</v>
      </c>
      <c r="C59" s="15"/>
      <c r="D59" s="15"/>
      <c r="E59" s="15"/>
      <c r="F59" s="6"/>
      <c r="G59" s="15" t="s">
        <v>70</v>
      </c>
      <c r="H59" s="15"/>
      <c r="I59" s="15"/>
      <c r="J59" s="6"/>
      <c r="K59" s="15" t="s">
        <v>70</v>
      </c>
      <c r="L59" s="15"/>
      <c r="M59" s="15"/>
      <c r="N59" s="6"/>
    </row>
    <row r="60" spans="1:14" x14ac:dyDescent="0.2">
      <c r="A60" s="3" t="s">
        <v>30</v>
      </c>
      <c r="B60" s="1">
        <v>0.50811499999999998</v>
      </c>
      <c r="C60" s="15">
        <v>2.0086900000000001</v>
      </c>
      <c r="D60" s="15"/>
      <c r="E60" s="15"/>
      <c r="F60" s="6"/>
      <c r="G60" s="15">
        <f t="shared" ref="G60:G71" si="15">C60-B60</f>
        <v>1.500575</v>
      </c>
      <c r="H60" s="15"/>
      <c r="I60" s="15"/>
      <c r="J60" s="6"/>
      <c r="K60" s="13">
        <f>G60/B60</f>
        <v>2.9532192515473858</v>
      </c>
      <c r="L60" s="13"/>
      <c r="M60" s="13"/>
      <c r="N60" s="6"/>
    </row>
    <row r="61" spans="1:14" x14ac:dyDescent="0.2">
      <c r="A61" s="3" t="s">
        <v>31</v>
      </c>
      <c r="B61" s="1">
        <v>0.42940200000000001</v>
      </c>
      <c r="C61" s="15">
        <v>1.1092360000000001</v>
      </c>
      <c r="D61" s="15"/>
      <c r="E61" s="15"/>
      <c r="F61" s="6"/>
      <c r="G61" s="15">
        <f t="shared" si="15"/>
        <v>0.67983400000000005</v>
      </c>
      <c r="H61" s="15"/>
      <c r="I61" s="15"/>
      <c r="J61" s="6"/>
      <c r="K61" s="13">
        <f t="shared" ref="K61" si="16">G61/B61</f>
        <v>1.5832110702791324</v>
      </c>
      <c r="L61" s="13"/>
      <c r="M61" s="13"/>
      <c r="N61" s="6"/>
    </row>
    <row r="62" spans="1:14" x14ac:dyDescent="0.2">
      <c r="A62" s="3" t="s">
        <v>32</v>
      </c>
      <c r="B62" s="1">
        <v>0</v>
      </c>
      <c r="C62" s="15">
        <v>1</v>
      </c>
      <c r="D62" s="15"/>
      <c r="E62" s="15"/>
      <c r="F62" s="6"/>
      <c r="G62" s="15">
        <f t="shared" si="15"/>
        <v>1</v>
      </c>
      <c r="H62" s="15"/>
      <c r="I62" s="15"/>
      <c r="J62" s="6"/>
      <c r="K62" s="13" t="s">
        <v>52</v>
      </c>
      <c r="L62" s="13"/>
      <c r="M62" s="13"/>
      <c r="N62" s="6"/>
    </row>
    <row r="63" spans="1:14" x14ac:dyDescent="0.2">
      <c r="A63" s="3" t="s">
        <v>33</v>
      </c>
      <c r="B63" s="1">
        <v>0</v>
      </c>
      <c r="C63" s="15">
        <v>1</v>
      </c>
      <c r="D63" s="15"/>
      <c r="E63" s="15"/>
      <c r="F63" s="6"/>
      <c r="G63" s="15">
        <f t="shared" si="15"/>
        <v>1</v>
      </c>
      <c r="H63" s="15"/>
      <c r="I63" s="15"/>
      <c r="J63" s="6"/>
      <c r="K63" s="13" t="s">
        <v>52</v>
      </c>
      <c r="L63" s="13"/>
      <c r="M63" s="13"/>
      <c r="N63" s="6"/>
    </row>
    <row r="64" spans="1:14" x14ac:dyDescent="0.2">
      <c r="A64" s="3" t="s">
        <v>34</v>
      </c>
      <c r="B64" s="1">
        <v>-4</v>
      </c>
      <c r="C64" s="15">
        <v>-1</v>
      </c>
      <c r="D64" s="15"/>
      <c r="E64" s="15"/>
      <c r="F64" s="6"/>
      <c r="G64" s="15">
        <f t="shared" si="15"/>
        <v>3</v>
      </c>
      <c r="H64" s="15"/>
      <c r="I64" s="15"/>
      <c r="J64" s="6"/>
      <c r="K64" s="13">
        <f t="shared" ref="K64:K71" si="17">G64/B64</f>
        <v>-0.75</v>
      </c>
      <c r="L64" s="13"/>
      <c r="M64" s="13"/>
      <c r="N64" s="6"/>
    </row>
    <row r="65" spans="1:14" x14ac:dyDescent="0.2">
      <c r="A65" s="3" t="s">
        <v>35</v>
      </c>
      <c r="B65" s="1">
        <v>2</v>
      </c>
      <c r="C65" s="15">
        <v>6</v>
      </c>
      <c r="D65" s="15"/>
      <c r="E65" s="15"/>
      <c r="F65" s="6"/>
      <c r="G65" s="15">
        <f t="shared" si="15"/>
        <v>4</v>
      </c>
      <c r="H65" s="15"/>
      <c r="I65" s="15"/>
      <c r="J65" s="6"/>
      <c r="K65" s="13">
        <f t="shared" si="17"/>
        <v>2</v>
      </c>
      <c r="L65" s="13"/>
      <c r="M65" s="13"/>
      <c r="N65" s="6"/>
    </row>
    <row r="66" spans="1:14" x14ac:dyDescent="0.2">
      <c r="A66" s="3" t="s">
        <v>36</v>
      </c>
      <c r="B66" s="1">
        <v>7.5152260000000002</v>
      </c>
      <c r="C66" s="15">
        <v>6.894571</v>
      </c>
      <c r="D66" s="15"/>
      <c r="E66" s="15"/>
      <c r="F66" s="6"/>
      <c r="G66" s="15">
        <f t="shared" si="15"/>
        <v>-0.62065500000000018</v>
      </c>
      <c r="H66" s="15"/>
      <c r="I66" s="15"/>
      <c r="J66" s="6"/>
      <c r="K66" s="13">
        <f t="shared" si="17"/>
        <v>-8.2586338720884792E-2</v>
      </c>
      <c r="L66" s="13"/>
      <c r="M66" s="13"/>
      <c r="N66" s="6"/>
    </row>
    <row r="67" spans="1:14" x14ac:dyDescent="0.2">
      <c r="A67" s="3" t="s">
        <v>37</v>
      </c>
      <c r="B67" s="1">
        <v>8</v>
      </c>
      <c r="C67" s="15">
        <v>7</v>
      </c>
      <c r="D67" s="15"/>
      <c r="E67" s="15"/>
      <c r="F67" s="6"/>
      <c r="G67" s="15">
        <f t="shared" si="15"/>
        <v>-1</v>
      </c>
      <c r="H67" s="15"/>
      <c r="I67" s="15"/>
      <c r="J67" s="6"/>
      <c r="K67" s="13">
        <f t="shared" si="17"/>
        <v>-0.125</v>
      </c>
      <c r="L67" s="13"/>
      <c r="M67" s="13"/>
      <c r="N67" s="6"/>
    </row>
    <row r="68" spans="1:14" x14ac:dyDescent="0.2">
      <c r="A68" s="3" t="s">
        <v>38</v>
      </c>
      <c r="B68" s="1">
        <v>8</v>
      </c>
      <c r="C68" s="15">
        <v>8</v>
      </c>
      <c r="D68" s="15"/>
      <c r="E68" s="15"/>
      <c r="F68" s="6"/>
      <c r="G68" s="15">
        <f t="shared" si="15"/>
        <v>0</v>
      </c>
      <c r="H68" s="15"/>
      <c r="I68" s="15"/>
      <c r="J68" s="6"/>
      <c r="K68" s="13">
        <f t="shared" si="17"/>
        <v>0</v>
      </c>
      <c r="L68" s="13"/>
      <c r="M68" s="13"/>
      <c r="N68" s="6"/>
    </row>
    <row r="69" spans="1:14" x14ac:dyDescent="0.2">
      <c r="A69" s="3" t="s">
        <v>39</v>
      </c>
      <c r="B69" s="1">
        <v>5</v>
      </c>
      <c r="C69" s="15">
        <v>4</v>
      </c>
      <c r="D69" s="15"/>
      <c r="E69" s="15"/>
      <c r="F69" s="6"/>
      <c r="G69" s="15">
        <f t="shared" si="15"/>
        <v>-1</v>
      </c>
      <c r="H69" s="15"/>
      <c r="I69" s="15"/>
      <c r="J69" s="6"/>
      <c r="K69" s="13">
        <f t="shared" si="17"/>
        <v>-0.2</v>
      </c>
      <c r="L69" s="13"/>
      <c r="M69" s="13"/>
      <c r="N69" s="6"/>
    </row>
    <row r="70" spans="1:14" x14ac:dyDescent="0.2">
      <c r="A70" s="3" t="s">
        <v>74</v>
      </c>
      <c r="B70" s="1">
        <v>8452</v>
      </c>
      <c r="C70" s="15">
        <v>3298</v>
      </c>
      <c r="D70" s="15"/>
      <c r="E70" s="15"/>
      <c r="F70" s="6"/>
      <c r="G70" s="15">
        <f t="shared" si="15"/>
        <v>-5154</v>
      </c>
      <c r="H70" s="15"/>
      <c r="I70" s="15"/>
      <c r="J70" s="6"/>
      <c r="K70" s="13">
        <f t="shared" si="17"/>
        <v>-0.60979649787032653</v>
      </c>
      <c r="L70" s="13"/>
      <c r="M70" s="13"/>
      <c r="N70" s="6"/>
    </row>
    <row r="71" spans="1:14" x14ac:dyDescent="0.2">
      <c r="A71" s="3" t="s">
        <v>40</v>
      </c>
      <c r="B71" s="5">
        <v>0.60700947999999999</v>
      </c>
      <c r="C71" s="16">
        <v>0.23685722000000001</v>
      </c>
      <c r="D71" s="16"/>
      <c r="E71" s="16"/>
      <c r="F71" s="6"/>
      <c r="G71" s="15">
        <f t="shared" si="15"/>
        <v>-0.37015226000000001</v>
      </c>
      <c r="H71" s="15"/>
      <c r="I71" s="15"/>
      <c r="J71" s="6"/>
      <c r="K71" s="13">
        <f t="shared" si="17"/>
        <v>-0.60979650597878643</v>
      </c>
      <c r="L71" s="13"/>
      <c r="M71" s="13"/>
      <c r="N71" s="6"/>
    </row>
    <row r="72" spans="1:14" x14ac:dyDescent="0.2">
      <c r="A72" s="7"/>
      <c r="B72" s="8"/>
      <c r="C72" s="8"/>
      <c r="D72" s="12"/>
      <c r="E72" s="8"/>
      <c r="F72" s="6"/>
      <c r="G72" s="8"/>
      <c r="H72" s="8"/>
      <c r="I72" s="8"/>
      <c r="J72" s="6"/>
      <c r="K72" s="8"/>
      <c r="L72" s="8"/>
      <c r="M72" s="8"/>
      <c r="N72" s="6"/>
    </row>
    <row r="73" spans="1:14" x14ac:dyDescent="0.2">
      <c r="A73" s="3" t="s">
        <v>68</v>
      </c>
      <c r="B73" s="15" t="s">
        <v>71</v>
      </c>
      <c r="C73" s="15"/>
      <c r="D73" s="15"/>
      <c r="E73" s="15"/>
      <c r="F73" s="6"/>
      <c r="G73" s="15" t="s">
        <v>70</v>
      </c>
      <c r="H73" s="15"/>
      <c r="I73" s="15"/>
      <c r="J73" s="6"/>
      <c r="K73" s="15" t="s">
        <v>70</v>
      </c>
      <c r="L73" s="15"/>
      <c r="M73" s="15"/>
      <c r="N73" s="6"/>
    </row>
    <row r="74" spans="1:14" x14ac:dyDescent="0.2">
      <c r="A74" s="3" t="s">
        <v>41</v>
      </c>
      <c r="B74" s="1">
        <v>8.8339999999999998E-3</v>
      </c>
      <c r="C74" s="15">
        <v>5.6020000000000002E-3</v>
      </c>
      <c r="D74" s="15"/>
      <c r="E74" s="15"/>
      <c r="F74" s="6"/>
      <c r="G74" s="15">
        <f t="shared" ref="G74:G85" si="18">C74-B74</f>
        <v>-3.2319999999999996E-3</v>
      </c>
      <c r="H74" s="15"/>
      <c r="I74" s="15"/>
      <c r="J74" s="6"/>
      <c r="K74" s="13">
        <f>G74/B74</f>
        <v>-0.36585918043921212</v>
      </c>
      <c r="L74" s="13"/>
      <c r="M74" s="13"/>
      <c r="N74" s="6"/>
    </row>
    <row r="75" spans="1:14" x14ac:dyDescent="0.2">
      <c r="A75" s="3" t="s">
        <v>42</v>
      </c>
      <c r="B75" s="1">
        <v>4.2370000000000003E-3</v>
      </c>
      <c r="C75" s="15">
        <v>2.8730000000000001E-3</v>
      </c>
      <c r="D75" s="15"/>
      <c r="E75" s="15"/>
      <c r="F75" s="6"/>
      <c r="G75" s="15">
        <f t="shared" si="18"/>
        <v>-1.3640000000000002E-3</v>
      </c>
      <c r="H75" s="15"/>
      <c r="I75" s="15"/>
      <c r="J75" s="6"/>
      <c r="K75" s="13">
        <f t="shared" ref="K75:K85" si="19">G75/B75</f>
        <v>-0.32192589096058533</v>
      </c>
      <c r="L75" s="13"/>
      <c r="M75" s="13"/>
      <c r="N75" s="6"/>
    </row>
    <row r="76" spans="1:14" x14ac:dyDescent="0.2">
      <c r="A76" s="3" t="s">
        <v>43</v>
      </c>
      <c r="B76" s="1">
        <v>0</v>
      </c>
      <c r="C76" s="15">
        <v>0</v>
      </c>
      <c r="D76" s="15"/>
      <c r="E76" s="15"/>
      <c r="F76" s="6"/>
      <c r="G76" s="15">
        <f t="shared" si="18"/>
        <v>0</v>
      </c>
      <c r="H76" s="15"/>
      <c r="I76" s="15"/>
      <c r="J76" s="6"/>
      <c r="K76" s="13">
        <v>0</v>
      </c>
      <c r="L76" s="13"/>
      <c r="M76" s="13"/>
      <c r="N76" s="6"/>
    </row>
    <row r="77" spans="1:14" x14ac:dyDescent="0.2">
      <c r="A77" s="3" t="s">
        <v>44</v>
      </c>
      <c r="B77" s="1">
        <v>0</v>
      </c>
      <c r="C77" s="15">
        <v>0</v>
      </c>
      <c r="D77" s="15"/>
      <c r="E77" s="15"/>
      <c r="F77" s="6"/>
      <c r="G77" s="15">
        <f t="shared" si="18"/>
        <v>0</v>
      </c>
      <c r="H77" s="15"/>
      <c r="I77" s="15"/>
      <c r="J77" s="6"/>
      <c r="K77" s="13">
        <v>0</v>
      </c>
      <c r="L77" s="13"/>
      <c r="M77" s="13"/>
      <c r="N77" s="6"/>
    </row>
    <row r="78" spans="1:14" x14ac:dyDescent="0.2">
      <c r="A78" s="3" t="s">
        <v>45</v>
      </c>
      <c r="B78" s="1">
        <v>-2</v>
      </c>
      <c r="C78" s="15">
        <v>-2</v>
      </c>
      <c r="D78" s="15"/>
      <c r="E78" s="15"/>
      <c r="F78" s="6"/>
      <c r="G78" s="15">
        <f t="shared" si="18"/>
        <v>0</v>
      </c>
      <c r="H78" s="15"/>
      <c r="I78" s="15"/>
      <c r="J78" s="6"/>
      <c r="K78" s="13">
        <f t="shared" si="19"/>
        <v>0</v>
      </c>
      <c r="L78" s="13"/>
      <c r="M78" s="13"/>
      <c r="N78" s="6"/>
    </row>
    <row r="79" spans="1:14" x14ac:dyDescent="0.2">
      <c r="A79" s="3" t="s">
        <v>46</v>
      </c>
      <c r="B79" s="1">
        <v>4</v>
      </c>
      <c r="C79" s="15">
        <v>5</v>
      </c>
      <c r="D79" s="15"/>
      <c r="E79" s="15"/>
      <c r="F79" s="6"/>
      <c r="G79" s="15">
        <f t="shared" si="18"/>
        <v>1</v>
      </c>
      <c r="H79" s="15"/>
      <c r="I79" s="15"/>
      <c r="J79" s="6"/>
      <c r="K79" s="13">
        <f t="shared" si="19"/>
        <v>0.25</v>
      </c>
      <c r="L79" s="13"/>
      <c r="M79" s="13"/>
      <c r="N79" s="6"/>
    </row>
    <row r="80" spans="1:14" x14ac:dyDescent="0.2">
      <c r="A80" s="3" t="s">
        <v>47</v>
      </c>
      <c r="B80" s="1">
        <v>7.9970549999999996</v>
      </c>
      <c r="C80" s="15">
        <v>7.9978449999999999</v>
      </c>
      <c r="D80" s="15"/>
      <c r="E80" s="15"/>
      <c r="F80" s="6"/>
      <c r="G80" s="15">
        <f t="shared" si="18"/>
        <v>7.9000000000029047E-4</v>
      </c>
      <c r="H80" s="15"/>
      <c r="I80" s="15"/>
      <c r="J80" s="6"/>
      <c r="K80" s="13">
        <f t="shared" si="19"/>
        <v>9.8786365730921011E-5</v>
      </c>
      <c r="L80" s="13"/>
      <c r="M80" s="13"/>
      <c r="N80" s="6"/>
    </row>
    <row r="81" spans="1:14" x14ac:dyDescent="0.2">
      <c r="A81" s="3" t="s">
        <v>48</v>
      </c>
      <c r="B81" s="1">
        <v>8</v>
      </c>
      <c r="C81" s="15">
        <v>8</v>
      </c>
      <c r="D81" s="15"/>
      <c r="E81" s="15"/>
      <c r="F81" s="6"/>
      <c r="G81" s="15">
        <f t="shared" si="18"/>
        <v>0</v>
      </c>
      <c r="H81" s="15"/>
      <c r="I81" s="15"/>
      <c r="J81" s="6"/>
      <c r="K81" s="13">
        <f t="shared" si="19"/>
        <v>0</v>
      </c>
      <c r="L81" s="13"/>
      <c r="M81" s="13"/>
      <c r="N81" s="6"/>
    </row>
    <row r="82" spans="1:14" x14ac:dyDescent="0.2">
      <c r="A82" s="3" t="s">
        <v>49</v>
      </c>
      <c r="B82" s="1">
        <v>8</v>
      </c>
      <c r="C82" s="15">
        <v>8</v>
      </c>
      <c r="D82" s="15"/>
      <c r="E82" s="15"/>
      <c r="F82" s="6"/>
      <c r="G82" s="15">
        <f t="shared" si="18"/>
        <v>0</v>
      </c>
      <c r="H82" s="15"/>
      <c r="I82" s="15"/>
      <c r="J82" s="6"/>
      <c r="K82" s="13">
        <f t="shared" si="19"/>
        <v>0</v>
      </c>
      <c r="L82" s="13"/>
      <c r="M82" s="13"/>
      <c r="N82" s="6"/>
    </row>
    <row r="83" spans="1:14" x14ac:dyDescent="0.2">
      <c r="A83" s="3" t="s">
        <v>50</v>
      </c>
      <c r="B83" s="1">
        <v>6</v>
      </c>
      <c r="C83" s="15">
        <v>6</v>
      </c>
      <c r="D83" s="15"/>
      <c r="E83" s="15"/>
      <c r="F83" s="6"/>
      <c r="G83" s="15">
        <f t="shared" si="18"/>
        <v>0</v>
      </c>
      <c r="H83" s="15"/>
      <c r="I83" s="15"/>
      <c r="J83" s="6"/>
      <c r="K83" s="13">
        <f t="shared" si="19"/>
        <v>0</v>
      </c>
      <c r="L83" s="13"/>
      <c r="M83" s="13"/>
      <c r="N83" s="6"/>
    </row>
    <row r="84" spans="1:14" x14ac:dyDescent="0.2">
      <c r="A84" s="3" t="s">
        <v>75</v>
      </c>
      <c r="B84" s="1">
        <v>13887</v>
      </c>
      <c r="C84" s="15">
        <v>13896</v>
      </c>
      <c r="D84" s="15"/>
      <c r="E84" s="15"/>
      <c r="F84" s="6"/>
      <c r="G84" s="15">
        <f t="shared" si="18"/>
        <v>9</v>
      </c>
      <c r="H84" s="15"/>
      <c r="I84" s="15"/>
      <c r="J84" s="6"/>
      <c r="K84" s="13">
        <f t="shared" si="19"/>
        <v>6.4808813998703824E-4</v>
      </c>
      <c r="L84" s="13"/>
      <c r="M84" s="13"/>
      <c r="N84" s="6"/>
    </row>
    <row r="85" spans="1:14" x14ac:dyDescent="0.2">
      <c r="A85" s="3" t="s">
        <v>51</v>
      </c>
      <c r="B85" s="5">
        <v>0.99734272000000002</v>
      </c>
      <c r="C85" s="13">
        <v>0.99798907999999997</v>
      </c>
      <c r="D85" s="13"/>
      <c r="E85" s="13"/>
      <c r="F85" s="6"/>
      <c r="G85" s="15">
        <f t="shared" si="18"/>
        <v>6.4635999999995697E-4</v>
      </c>
      <c r="H85" s="15"/>
      <c r="I85" s="15"/>
      <c r="J85" s="6"/>
      <c r="K85" s="13">
        <f t="shared" si="19"/>
        <v>6.4808213569750317E-4</v>
      </c>
      <c r="L85" s="13"/>
      <c r="M85" s="13"/>
      <c r="N85" s="6"/>
    </row>
    <row r="86" spans="1:14" x14ac:dyDescent="0.2">
      <c r="A86" s="7"/>
      <c r="B86" s="8"/>
      <c r="C86" s="8"/>
      <c r="D86" s="12"/>
      <c r="E86" s="8"/>
      <c r="F86" s="6"/>
      <c r="G86" s="8"/>
      <c r="H86" s="8"/>
      <c r="I86" s="8"/>
      <c r="J86" s="6"/>
      <c r="K86" s="8"/>
      <c r="L86" s="8"/>
      <c r="M86" s="8"/>
      <c r="N86" s="6"/>
    </row>
    <row r="87" spans="1:14" x14ac:dyDescent="0.2">
      <c r="A87" s="3" t="s">
        <v>68</v>
      </c>
      <c r="B87" s="15" t="s">
        <v>72</v>
      </c>
      <c r="C87" s="15"/>
      <c r="D87" s="15"/>
      <c r="E87" s="15"/>
      <c r="F87" s="6"/>
      <c r="G87" s="15" t="s">
        <v>70</v>
      </c>
      <c r="H87" s="15"/>
      <c r="I87" s="15"/>
      <c r="J87" s="6"/>
      <c r="K87" s="15" t="s">
        <v>70</v>
      </c>
      <c r="L87" s="15"/>
      <c r="M87" s="15"/>
      <c r="N87" s="6"/>
    </row>
    <row r="88" spans="1:14" x14ac:dyDescent="0.2">
      <c r="A88" s="3" t="s">
        <v>30</v>
      </c>
      <c r="B88" s="1">
        <v>0.15900600000000001</v>
      </c>
      <c r="C88" s="15">
        <v>0.62431800000000004</v>
      </c>
      <c r="D88" s="15"/>
      <c r="E88" s="15"/>
      <c r="F88" s="6"/>
      <c r="G88" s="15">
        <f t="shared" ref="G88:G99" si="20">C88-B88</f>
        <v>0.46531200000000006</v>
      </c>
      <c r="H88" s="15"/>
      <c r="I88" s="15"/>
      <c r="J88" s="6"/>
      <c r="K88" s="13">
        <f>G88/B88</f>
        <v>2.9263801365986191</v>
      </c>
      <c r="L88" s="13"/>
      <c r="M88" s="13"/>
      <c r="N88" s="6"/>
    </row>
    <row r="89" spans="1:14" x14ac:dyDescent="0.2">
      <c r="A89" s="3" t="s">
        <v>31</v>
      </c>
      <c r="B89" s="1">
        <v>0.118357</v>
      </c>
      <c r="C89" s="15">
        <v>0.33014900000000003</v>
      </c>
      <c r="D89" s="15"/>
      <c r="E89" s="15"/>
      <c r="F89" s="6"/>
      <c r="G89" s="15">
        <f t="shared" si="20"/>
        <v>0.21179200000000004</v>
      </c>
      <c r="H89" s="15"/>
      <c r="I89" s="15"/>
      <c r="J89" s="6"/>
      <c r="K89" s="13">
        <f t="shared" ref="K89" si="21">G89/B89</f>
        <v>1.7894336625632623</v>
      </c>
      <c r="L89" s="13"/>
      <c r="M89" s="13"/>
      <c r="N89" s="6"/>
    </row>
    <row r="90" spans="1:14" x14ac:dyDescent="0.2">
      <c r="A90" s="3" t="s">
        <v>32</v>
      </c>
      <c r="B90" s="1">
        <v>0</v>
      </c>
      <c r="C90" s="15">
        <v>0</v>
      </c>
      <c r="D90" s="15"/>
      <c r="E90" s="15"/>
      <c r="F90" s="6"/>
      <c r="G90" s="15">
        <f t="shared" si="20"/>
        <v>0</v>
      </c>
      <c r="H90" s="15"/>
      <c r="I90" s="15"/>
      <c r="J90" s="6"/>
      <c r="K90" s="13">
        <v>0</v>
      </c>
      <c r="L90" s="13"/>
      <c r="M90" s="13"/>
      <c r="N90" s="6"/>
    </row>
    <row r="91" spans="1:14" x14ac:dyDescent="0.2">
      <c r="A91" s="3" t="s">
        <v>33</v>
      </c>
      <c r="B91" s="1">
        <v>0</v>
      </c>
      <c r="C91" s="15">
        <v>0</v>
      </c>
      <c r="D91" s="15"/>
      <c r="E91" s="15"/>
      <c r="F91" s="6"/>
      <c r="G91" s="15">
        <f t="shared" si="20"/>
        <v>0</v>
      </c>
      <c r="H91" s="15"/>
      <c r="I91" s="15"/>
      <c r="J91" s="6"/>
      <c r="K91" s="13">
        <v>0</v>
      </c>
      <c r="L91" s="13"/>
      <c r="M91" s="13"/>
      <c r="N91" s="6"/>
    </row>
    <row r="92" spans="1:14" x14ac:dyDescent="0.2">
      <c r="A92" s="3" t="s">
        <v>34</v>
      </c>
      <c r="B92" s="1">
        <v>-3</v>
      </c>
      <c r="C92" s="15">
        <v>-1</v>
      </c>
      <c r="D92" s="15"/>
      <c r="E92" s="15"/>
      <c r="F92" s="6"/>
      <c r="G92" s="15">
        <f t="shared" si="20"/>
        <v>2</v>
      </c>
      <c r="H92" s="15"/>
      <c r="I92" s="15"/>
      <c r="J92" s="6"/>
      <c r="K92" s="13">
        <f t="shared" ref="K92:K99" si="22">G92/B92</f>
        <v>-0.66666666666666663</v>
      </c>
      <c r="L92" s="13"/>
      <c r="M92" s="13"/>
      <c r="N92" s="6"/>
    </row>
    <row r="93" spans="1:14" x14ac:dyDescent="0.2">
      <c r="A93" s="3" t="s">
        <v>35</v>
      </c>
      <c r="B93" s="1">
        <v>3</v>
      </c>
      <c r="C93" s="15">
        <v>5</v>
      </c>
      <c r="D93" s="15"/>
      <c r="E93" s="15"/>
      <c r="F93" s="6"/>
      <c r="G93" s="15">
        <f t="shared" si="20"/>
        <v>2</v>
      </c>
      <c r="H93" s="15"/>
      <c r="I93" s="15"/>
      <c r="J93" s="6"/>
      <c r="K93" s="13">
        <f t="shared" si="22"/>
        <v>0.66666666666666663</v>
      </c>
      <c r="L93" s="13"/>
      <c r="M93" s="13"/>
      <c r="N93" s="6"/>
    </row>
    <row r="94" spans="1:14" x14ac:dyDescent="0.2">
      <c r="A94" s="3" t="s">
        <v>36</v>
      </c>
      <c r="B94" s="1">
        <v>7.878196</v>
      </c>
      <c r="C94" s="15">
        <v>7.683999</v>
      </c>
      <c r="D94" s="15"/>
      <c r="E94" s="15"/>
      <c r="F94" s="6"/>
      <c r="G94" s="15">
        <f t="shared" si="20"/>
        <v>-0.19419699999999995</v>
      </c>
      <c r="H94" s="15"/>
      <c r="I94" s="15"/>
      <c r="J94" s="6"/>
      <c r="K94" s="13">
        <f t="shared" si="22"/>
        <v>-2.4649932548009717E-2</v>
      </c>
      <c r="L94" s="13"/>
      <c r="M94" s="13"/>
      <c r="N94" s="6"/>
    </row>
    <row r="95" spans="1:14" x14ac:dyDescent="0.2">
      <c r="A95" s="3" t="s">
        <v>37</v>
      </c>
      <c r="B95" s="1">
        <v>8</v>
      </c>
      <c r="C95" s="15">
        <v>8</v>
      </c>
      <c r="D95" s="15"/>
      <c r="E95" s="15"/>
      <c r="F95" s="6"/>
      <c r="G95" s="15">
        <f t="shared" si="20"/>
        <v>0</v>
      </c>
      <c r="H95" s="15"/>
      <c r="I95" s="15"/>
      <c r="J95" s="6"/>
      <c r="K95" s="13">
        <f t="shared" si="22"/>
        <v>0</v>
      </c>
      <c r="L95" s="13"/>
      <c r="M95" s="13"/>
      <c r="N95" s="6"/>
    </row>
    <row r="96" spans="1:14" x14ac:dyDescent="0.2">
      <c r="A96" s="3" t="s">
        <v>38</v>
      </c>
      <c r="B96" s="1">
        <v>8</v>
      </c>
      <c r="C96" s="15">
        <v>8</v>
      </c>
      <c r="D96" s="15"/>
      <c r="E96" s="15"/>
      <c r="F96" s="6"/>
      <c r="G96" s="15">
        <f t="shared" si="20"/>
        <v>0</v>
      </c>
      <c r="H96" s="15"/>
      <c r="I96" s="15"/>
      <c r="J96" s="6"/>
      <c r="K96" s="13">
        <f t="shared" si="22"/>
        <v>0</v>
      </c>
      <c r="L96" s="13"/>
      <c r="M96" s="13"/>
      <c r="N96" s="6"/>
    </row>
    <row r="97" spans="1:14" x14ac:dyDescent="0.2">
      <c r="A97" s="3" t="s">
        <v>39</v>
      </c>
      <c r="B97" s="1">
        <v>6</v>
      </c>
      <c r="C97" s="15">
        <v>5</v>
      </c>
      <c r="D97" s="15"/>
      <c r="E97" s="15"/>
      <c r="F97" s="6"/>
      <c r="G97" s="15">
        <f t="shared" si="20"/>
        <v>-1</v>
      </c>
      <c r="H97" s="15"/>
      <c r="I97" s="15"/>
      <c r="J97" s="6"/>
      <c r="K97" s="13">
        <f t="shared" si="22"/>
        <v>-0.16666666666666666</v>
      </c>
      <c r="L97" s="13"/>
      <c r="M97" s="13"/>
      <c r="N97" s="6"/>
    </row>
    <row r="98" spans="1:14" x14ac:dyDescent="0.2">
      <c r="A98" s="3" t="s">
        <v>74</v>
      </c>
      <c r="B98" s="1">
        <v>12522</v>
      </c>
      <c r="C98" s="15">
        <v>10608</v>
      </c>
      <c r="D98" s="15"/>
      <c r="E98" s="15"/>
      <c r="F98" s="6"/>
      <c r="G98" s="15">
        <f t="shared" si="20"/>
        <v>-1914</v>
      </c>
      <c r="H98" s="15"/>
      <c r="I98" s="15"/>
      <c r="J98" s="6"/>
      <c r="K98" s="13">
        <f t="shared" si="22"/>
        <v>-0.1528509822712027</v>
      </c>
      <c r="L98" s="13"/>
      <c r="M98" s="13"/>
      <c r="N98" s="6"/>
    </row>
    <row r="99" spans="1:14" x14ac:dyDescent="0.2">
      <c r="A99" s="3" t="s">
        <v>40</v>
      </c>
      <c r="B99" s="5">
        <v>0.89931053999999999</v>
      </c>
      <c r="C99" s="16">
        <v>0.76185004000000001</v>
      </c>
      <c r="D99" s="16"/>
      <c r="E99" s="16"/>
      <c r="F99" s="6"/>
      <c r="G99" s="15">
        <f t="shared" si="20"/>
        <v>-0.13746049999999999</v>
      </c>
      <c r="H99" s="15"/>
      <c r="I99" s="15"/>
      <c r="J99" s="6"/>
      <c r="K99" s="13">
        <f t="shared" si="22"/>
        <v>-0.15285098293188024</v>
      </c>
      <c r="L99" s="13"/>
      <c r="M99" s="13"/>
      <c r="N99" s="6"/>
    </row>
    <row r="100" spans="1:14" x14ac:dyDescent="0.2">
      <c r="A100" s="7"/>
      <c r="B100" s="8"/>
      <c r="C100" s="8"/>
      <c r="D100" s="12"/>
      <c r="E100" s="8"/>
      <c r="F100" s="6"/>
      <c r="G100" s="8"/>
      <c r="H100" s="8"/>
      <c r="I100" s="8"/>
      <c r="J100" s="6"/>
      <c r="K100" s="8"/>
      <c r="L100" s="8"/>
      <c r="M100" s="8"/>
      <c r="N100" s="6"/>
    </row>
    <row r="101" spans="1:14" x14ac:dyDescent="0.2">
      <c r="A101" s="3" t="s">
        <v>68</v>
      </c>
      <c r="B101" s="15" t="s">
        <v>72</v>
      </c>
      <c r="C101" s="15"/>
      <c r="D101" s="15"/>
      <c r="E101" s="15"/>
      <c r="F101" s="6"/>
      <c r="G101" s="15" t="s">
        <v>70</v>
      </c>
      <c r="H101" s="15"/>
      <c r="I101" s="15"/>
      <c r="J101" s="6"/>
      <c r="K101" s="15" t="s">
        <v>70</v>
      </c>
      <c r="L101" s="15"/>
      <c r="M101" s="15"/>
      <c r="N101" s="6"/>
    </row>
    <row r="102" spans="1:14" x14ac:dyDescent="0.2">
      <c r="A102" s="3" t="s">
        <v>41</v>
      </c>
      <c r="B102" s="1">
        <v>1.4621519999999999</v>
      </c>
      <c r="C102" s="15">
        <v>1.2651539999999999</v>
      </c>
      <c r="D102" s="15"/>
      <c r="E102" s="15"/>
      <c r="F102" s="6"/>
      <c r="G102" s="15">
        <f t="shared" ref="G102:G113" si="23">C102-B102</f>
        <v>-0.19699800000000001</v>
      </c>
      <c r="H102" s="15"/>
      <c r="I102" s="15"/>
      <c r="J102" s="6"/>
      <c r="K102" s="13">
        <f>G102/B102</f>
        <v>-0.13473154637821513</v>
      </c>
      <c r="L102" s="13"/>
      <c r="M102" s="13"/>
      <c r="N102" s="6"/>
    </row>
    <row r="103" spans="1:14" x14ac:dyDescent="0.2">
      <c r="A103" s="3" t="s">
        <v>42</v>
      </c>
      <c r="B103" s="1">
        <v>0.3448</v>
      </c>
      <c r="C103" s="15">
        <v>0.301925</v>
      </c>
      <c r="D103" s="15"/>
      <c r="E103" s="15"/>
      <c r="F103" s="6"/>
      <c r="G103" s="15">
        <f t="shared" si="23"/>
        <v>-4.2874999999999996E-2</v>
      </c>
      <c r="H103" s="15"/>
      <c r="I103" s="15"/>
      <c r="J103" s="6"/>
      <c r="K103" s="13">
        <f t="shared" ref="K103:K113" si="24">G103/B103</f>
        <v>-0.12434744779582366</v>
      </c>
      <c r="L103" s="13"/>
      <c r="M103" s="13"/>
      <c r="N103" s="6"/>
    </row>
    <row r="104" spans="1:14" x14ac:dyDescent="0.2">
      <c r="A104" s="3" t="s">
        <v>43</v>
      </c>
      <c r="B104" s="1">
        <v>0</v>
      </c>
      <c r="C104" s="15">
        <v>0</v>
      </c>
      <c r="D104" s="15"/>
      <c r="E104" s="15"/>
      <c r="F104" s="6"/>
      <c r="G104" s="15">
        <f t="shared" si="23"/>
        <v>0</v>
      </c>
      <c r="H104" s="15"/>
      <c r="I104" s="15"/>
      <c r="J104" s="6"/>
      <c r="K104" s="13">
        <v>0</v>
      </c>
      <c r="L104" s="13"/>
      <c r="M104" s="13"/>
      <c r="N104" s="6"/>
    </row>
    <row r="105" spans="1:14" x14ac:dyDescent="0.2">
      <c r="A105" s="3" t="s">
        <v>44</v>
      </c>
      <c r="B105" s="1">
        <v>0</v>
      </c>
      <c r="C105" s="15">
        <v>0</v>
      </c>
      <c r="D105" s="15"/>
      <c r="E105" s="15"/>
      <c r="F105" s="6"/>
      <c r="G105" s="15">
        <f t="shared" si="23"/>
        <v>0</v>
      </c>
      <c r="H105" s="15"/>
      <c r="I105" s="15"/>
      <c r="J105" s="6"/>
      <c r="K105" s="13">
        <v>0</v>
      </c>
      <c r="L105" s="13"/>
      <c r="M105" s="13"/>
      <c r="N105" s="6"/>
    </row>
    <row r="106" spans="1:14" x14ac:dyDescent="0.2">
      <c r="A106" s="3" t="s">
        <v>45</v>
      </c>
      <c r="B106" s="1">
        <v>-24</v>
      </c>
      <c r="C106" s="15">
        <v>-18</v>
      </c>
      <c r="D106" s="15"/>
      <c r="E106" s="15"/>
      <c r="F106" s="6"/>
      <c r="G106" s="15">
        <f t="shared" si="23"/>
        <v>6</v>
      </c>
      <c r="H106" s="15"/>
      <c r="I106" s="15"/>
      <c r="J106" s="6"/>
      <c r="K106" s="13">
        <f t="shared" si="24"/>
        <v>-0.25</v>
      </c>
      <c r="L106" s="13"/>
      <c r="M106" s="13"/>
      <c r="N106" s="6"/>
    </row>
    <row r="107" spans="1:14" x14ac:dyDescent="0.2">
      <c r="A107" s="3" t="s">
        <v>46</v>
      </c>
      <c r="B107" s="1">
        <v>19</v>
      </c>
      <c r="C107" s="15">
        <v>30</v>
      </c>
      <c r="D107" s="15"/>
      <c r="E107" s="15"/>
      <c r="F107" s="6"/>
      <c r="G107" s="15">
        <f t="shared" si="23"/>
        <v>11</v>
      </c>
      <c r="H107" s="15"/>
      <c r="I107" s="15"/>
      <c r="J107" s="6"/>
      <c r="K107" s="13">
        <f t="shared" si="24"/>
        <v>0.57894736842105265</v>
      </c>
      <c r="L107" s="13"/>
      <c r="M107" s="13"/>
      <c r="N107" s="6"/>
    </row>
    <row r="108" spans="1:14" x14ac:dyDescent="0.2">
      <c r="A108" s="3" t="s">
        <v>47</v>
      </c>
      <c r="B108" s="1">
        <v>7.784904</v>
      </c>
      <c r="C108" s="15">
        <v>7.7971849999999998</v>
      </c>
      <c r="D108" s="15"/>
      <c r="E108" s="15"/>
      <c r="F108" s="6"/>
      <c r="G108" s="15">
        <f t="shared" si="23"/>
        <v>1.2280999999999764E-2</v>
      </c>
      <c r="H108" s="15"/>
      <c r="I108" s="15"/>
      <c r="J108" s="6"/>
      <c r="K108" s="13">
        <f t="shared" si="24"/>
        <v>1.5775403267657205E-3</v>
      </c>
      <c r="L108" s="13"/>
      <c r="M108" s="13"/>
      <c r="N108" s="6"/>
    </row>
    <row r="109" spans="1:14" x14ac:dyDescent="0.2">
      <c r="A109" s="3" t="s">
        <v>48</v>
      </c>
      <c r="B109" s="1">
        <v>8</v>
      </c>
      <c r="C109" s="15">
        <v>8</v>
      </c>
      <c r="D109" s="15"/>
      <c r="E109" s="15"/>
      <c r="F109" s="6"/>
      <c r="G109" s="15">
        <f t="shared" si="23"/>
        <v>0</v>
      </c>
      <c r="H109" s="15"/>
      <c r="I109" s="15"/>
      <c r="J109" s="6"/>
      <c r="K109" s="13">
        <f t="shared" si="24"/>
        <v>0</v>
      </c>
      <c r="L109" s="13"/>
      <c r="M109" s="13"/>
      <c r="N109" s="6"/>
    </row>
    <row r="110" spans="1:14" x14ac:dyDescent="0.2">
      <c r="A110" s="3" t="s">
        <v>49</v>
      </c>
      <c r="B110" s="1">
        <v>8</v>
      </c>
      <c r="C110" s="15">
        <v>8</v>
      </c>
      <c r="D110" s="15"/>
      <c r="E110" s="15"/>
      <c r="F110" s="6"/>
      <c r="G110" s="15">
        <f t="shared" si="23"/>
        <v>0</v>
      </c>
      <c r="H110" s="15"/>
      <c r="I110" s="15"/>
      <c r="J110" s="6"/>
      <c r="K110" s="13">
        <f t="shared" si="24"/>
        <v>0</v>
      </c>
      <c r="L110" s="13"/>
      <c r="M110" s="13"/>
      <c r="N110" s="6"/>
    </row>
    <row r="111" spans="1:14" x14ac:dyDescent="0.2">
      <c r="A111" s="3" t="s">
        <v>50</v>
      </c>
      <c r="B111" s="1">
        <v>3</v>
      </c>
      <c r="C111" s="15">
        <v>4</v>
      </c>
      <c r="D111" s="15"/>
      <c r="E111" s="15"/>
      <c r="F111" s="6"/>
      <c r="G111" s="15">
        <f t="shared" si="23"/>
        <v>1</v>
      </c>
      <c r="H111" s="15"/>
      <c r="I111" s="15"/>
      <c r="J111" s="6"/>
      <c r="K111" s="13">
        <f t="shared" si="24"/>
        <v>0.33333333333333331</v>
      </c>
      <c r="L111" s="13"/>
      <c r="M111" s="13"/>
      <c r="N111" s="6"/>
    </row>
    <row r="112" spans="1:14" x14ac:dyDescent="0.2">
      <c r="A112" s="3" t="s">
        <v>75</v>
      </c>
      <c r="B112" s="1">
        <v>11888</v>
      </c>
      <c r="C112" s="15">
        <v>11942</v>
      </c>
      <c r="D112" s="15"/>
      <c r="E112" s="15"/>
      <c r="F112" s="6"/>
      <c r="G112" s="15">
        <f t="shared" si="23"/>
        <v>54</v>
      </c>
      <c r="H112" s="15"/>
      <c r="I112" s="15"/>
      <c r="J112" s="6"/>
      <c r="K112" s="13">
        <f t="shared" si="24"/>
        <v>4.5423956931359352E-3</v>
      </c>
      <c r="L112" s="13"/>
      <c r="M112" s="13"/>
      <c r="N112" s="6"/>
    </row>
    <row r="113" spans="1:14" x14ac:dyDescent="0.2">
      <c r="A113" s="3" t="s">
        <v>51</v>
      </c>
      <c r="B113" s="5">
        <v>0.85377765000000005</v>
      </c>
      <c r="C113" s="13">
        <v>0.85765585</v>
      </c>
      <c r="D113" s="13"/>
      <c r="E113" s="13"/>
      <c r="F113" s="6"/>
      <c r="G113" s="15">
        <f t="shared" si="23"/>
        <v>3.8781999999999428E-3</v>
      </c>
      <c r="H113" s="15"/>
      <c r="I113" s="15"/>
      <c r="J113" s="6"/>
      <c r="K113" s="13">
        <f t="shared" si="24"/>
        <v>4.5424004715981289E-3</v>
      </c>
      <c r="L113" s="13"/>
      <c r="M113" s="13"/>
      <c r="N113" s="6"/>
    </row>
    <row r="114" spans="1:14" x14ac:dyDescent="0.2">
      <c r="A114" s="7"/>
      <c r="B114" s="8"/>
      <c r="C114" s="8"/>
      <c r="D114" s="12"/>
      <c r="E114" s="8"/>
      <c r="F114" s="6"/>
      <c r="G114" s="8"/>
      <c r="H114" s="8"/>
      <c r="I114" s="8"/>
      <c r="J114" s="6"/>
      <c r="K114" s="8"/>
      <c r="L114" s="8"/>
      <c r="M114" s="8"/>
      <c r="N114" s="6"/>
    </row>
    <row r="115" spans="1:14" x14ac:dyDescent="0.2">
      <c r="A115" s="3" t="s">
        <v>68</v>
      </c>
      <c r="B115" s="15" t="s">
        <v>73</v>
      </c>
      <c r="C115" s="15"/>
      <c r="D115" s="15"/>
      <c r="E115" s="15"/>
      <c r="F115" s="6"/>
      <c r="G115" s="15" t="s">
        <v>70</v>
      </c>
      <c r="H115" s="15"/>
      <c r="I115" s="15"/>
      <c r="J115" s="6"/>
      <c r="K115" s="15" t="s">
        <v>70</v>
      </c>
      <c r="L115" s="15"/>
      <c r="M115" s="15"/>
      <c r="N115" s="6"/>
    </row>
    <row r="116" spans="1:14" x14ac:dyDescent="0.2">
      <c r="A116" s="3" t="s">
        <v>30</v>
      </c>
      <c r="B116" s="1">
        <f>AVERAGE(B60,B32,B88)</f>
        <v>0.37977566666666668</v>
      </c>
      <c r="C116" s="15">
        <f>AVERAGE(C60,C32,C88)</f>
        <v>1.5543426666666667</v>
      </c>
      <c r="D116" s="15"/>
      <c r="E116" s="15"/>
      <c r="F116" s="6"/>
      <c r="G116" s="15">
        <f t="shared" ref="G116:G127" si="25">C116-B116</f>
        <v>1.1745669999999999</v>
      </c>
      <c r="H116" s="15"/>
      <c r="I116" s="15"/>
      <c r="J116" s="6"/>
      <c r="K116" s="13">
        <f>G116/B116</f>
        <v>3.0927916217205418</v>
      </c>
      <c r="L116" s="13"/>
      <c r="M116" s="13"/>
      <c r="N116" s="6"/>
    </row>
    <row r="117" spans="1:14" x14ac:dyDescent="0.2">
      <c r="A117" s="3" t="s">
        <v>31</v>
      </c>
      <c r="B117" s="1">
        <f t="shared" ref="B117:C122" si="26">AVERAGE(B61,B33,B89)</f>
        <v>0.29771133333333338</v>
      </c>
      <c r="C117" s="15">
        <f t="shared" si="26"/>
        <v>0.79210933333333333</v>
      </c>
      <c r="D117" s="15"/>
      <c r="E117" s="15"/>
      <c r="F117" s="6"/>
      <c r="G117" s="15">
        <f t="shared" si="25"/>
        <v>0.49439799999999995</v>
      </c>
      <c r="H117" s="15"/>
      <c r="I117" s="15"/>
      <c r="J117" s="6"/>
      <c r="K117" s="13">
        <f t="shared" ref="K117" si="27">G117/B117</f>
        <v>1.6606623418210478</v>
      </c>
      <c r="L117" s="13"/>
      <c r="M117" s="13"/>
      <c r="N117" s="6"/>
    </row>
    <row r="118" spans="1:14" x14ac:dyDescent="0.2">
      <c r="A118" s="3" t="s">
        <v>32</v>
      </c>
      <c r="B118" s="1">
        <f>MEDIAN(B62,B34,B90)</f>
        <v>0</v>
      </c>
      <c r="C118" s="15">
        <f t="shared" ref="C118:E119" si="28">MEDIAN(C62,C34,C90)</f>
        <v>1</v>
      </c>
      <c r="D118" s="15" t="e">
        <f t="shared" si="28"/>
        <v>#NUM!</v>
      </c>
      <c r="E118" s="15" t="e">
        <f t="shared" si="28"/>
        <v>#NUM!</v>
      </c>
      <c r="F118" s="6"/>
      <c r="G118" s="15">
        <f t="shared" si="25"/>
        <v>1</v>
      </c>
      <c r="H118" s="15"/>
      <c r="I118" s="15"/>
      <c r="J118" s="6"/>
      <c r="K118" s="13" t="s">
        <v>52</v>
      </c>
      <c r="L118" s="13"/>
      <c r="M118" s="13"/>
      <c r="N118" s="6"/>
    </row>
    <row r="119" spans="1:14" x14ac:dyDescent="0.2">
      <c r="A119" s="3" t="s">
        <v>33</v>
      </c>
      <c r="B119" s="1">
        <f>MEDIAN(B63,B35,B91)</f>
        <v>0</v>
      </c>
      <c r="C119" s="15">
        <f t="shared" si="28"/>
        <v>1</v>
      </c>
      <c r="D119" s="15" t="e">
        <f t="shared" si="28"/>
        <v>#NUM!</v>
      </c>
      <c r="E119" s="15" t="e">
        <f t="shared" si="28"/>
        <v>#NUM!</v>
      </c>
      <c r="F119" s="6"/>
      <c r="G119" s="15">
        <f t="shared" si="25"/>
        <v>1</v>
      </c>
      <c r="H119" s="15"/>
      <c r="I119" s="15"/>
      <c r="J119" s="6"/>
      <c r="K119" s="13" t="s">
        <v>52</v>
      </c>
      <c r="L119" s="13"/>
      <c r="M119" s="13"/>
      <c r="N119" s="6"/>
    </row>
    <row r="120" spans="1:14" x14ac:dyDescent="0.2">
      <c r="A120" s="3" t="s">
        <v>34</v>
      </c>
      <c r="B120" s="1">
        <f>MIN(B64,B36,B92)</f>
        <v>-4</v>
      </c>
      <c r="C120" s="15">
        <f>MIN(C64,C36,C92)</f>
        <v>-1</v>
      </c>
      <c r="D120" s="15"/>
      <c r="E120" s="15"/>
      <c r="F120" s="6"/>
      <c r="G120" s="15">
        <f t="shared" si="25"/>
        <v>3</v>
      </c>
      <c r="H120" s="15"/>
      <c r="I120" s="15"/>
      <c r="J120" s="6"/>
      <c r="K120" s="13">
        <f t="shared" ref="K120:K127" si="29">G120/B120</f>
        <v>-0.75</v>
      </c>
      <c r="L120" s="13"/>
      <c r="M120" s="13"/>
      <c r="N120" s="6"/>
    </row>
    <row r="121" spans="1:14" x14ac:dyDescent="0.2">
      <c r="A121" s="3" t="s">
        <v>35</v>
      </c>
      <c r="B121" s="1">
        <f>MAX(B65,B37,B93)</f>
        <v>3</v>
      </c>
      <c r="C121" s="15">
        <f>MAX(C65,C37,C93)</f>
        <v>6</v>
      </c>
      <c r="D121" s="15"/>
      <c r="E121" s="15"/>
      <c r="F121" s="6"/>
      <c r="G121" s="15">
        <f t="shared" si="25"/>
        <v>3</v>
      </c>
      <c r="H121" s="15"/>
      <c r="I121" s="15"/>
      <c r="J121" s="6"/>
      <c r="K121" s="13">
        <f t="shared" si="29"/>
        <v>1</v>
      </c>
      <c r="L121" s="13"/>
      <c r="M121" s="13"/>
      <c r="N121" s="6"/>
    </row>
    <row r="122" spans="1:14" x14ac:dyDescent="0.2">
      <c r="A122" s="3" t="s">
        <v>36</v>
      </c>
      <c r="B122" s="1">
        <f>AVERAGE(B66,B38,B94)</f>
        <v>7.6702816666666669</v>
      </c>
      <c r="C122" s="15">
        <f t="shared" si="26"/>
        <v>7.246983666666666</v>
      </c>
      <c r="D122" s="15"/>
      <c r="E122" s="15"/>
      <c r="F122" s="6"/>
      <c r="G122" s="15">
        <f t="shared" si="25"/>
        <v>-0.42329800000000084</v>
      </c>
      <c r="H122" s="15"/>
      <c r="I122" s="15"/>
      <c r="J122" s="6"/>
      <c r="K122" s="13">
        <f t="shared" si="29"/>
        <v>-5.518676085124221E-2</v>
      </c>
      <c r="L122" s="13"/>
      <c r="M122" s="13"/>
      <c r="N122" s="6"/>
    </row>
    <row r="123" spans="1:14" x14ac:dyDescent="0.2">
      <c r="A123" s="3" t="s">
        <v>37</v>
      </c>
      <c r="B123" s="1">
        <f>MEDIAN(B67,B39,B95)</f>
        <v>8</v>
      </c>
      <c r="C123" s="15">
        <f>MEDIAN(C67,C39,C95)</f>
        <v>7</v>
      </c>
      <c r="D123" s="15"/>
      <c r="E123" s="15"/>
      <c r="F123" s="6"/>
      <c r="G123" s="15">
        <f t="shared" si="25"/>
        <v>-1</v>
      </c>
      <c r="H123" s="15"/>
      <c r="I123" s="15"/>
      <c r="J123" s="6"/>
      <c r="K123" s="13">
        <f t="shared" si="29"/>
        <v>-0.125</v>
      </c>
      <c r="L123" s="13"/>
      <c r="M123" s="13"/>
      <c r="N123" s="6"/>
    </row>
    <row r="124" spans="1:14" x14ac:dyDescent="0.2">
      <c r="A124" s="3" t="s">
        <v>38</v>
      </c>
      <c r="B124" s="1">
        <f>MAX(B68,B40,B96)</f>
        <v>8</v>
      </c>
      <c r="C124" s="15">
        <f>MAX(C68,C40,C96)</f>
        <v>8</v>
      </c>
      <c r="D124" s="15"/>
      <c r="E124" s="15"/>
      <c r="F124" s="6"/>
      <c r="G124" s="15">
        <f t="shared" si="25"/>
        <v>0</v>
      </c>
      <c r="H124" s="15"/>
      <c r="I124" s="15"/>
      <c r="J124" s="6"/>
      <c r="K124" s="13">
        <f t="shared" si="29"/>
        <v>0</v>
      </c>
      <c r="L124" s="13"/>
      <c r="M124" s="13"/>
      <c r="N124" s="6"/>
    </row>
    <row r="125" spans="1:14" x14ac:dyDescent="0.2">
      <c r="A125" s="3" t="s">
        <v>39</v>
      </c>
      <c r="B125" s="1">
        <f>MIN(B69,B41,B97)</f>
        <v>5</v>
      </c>
      <c r="C125" s="15">
        <f>MIN(C69,C41,C97)</f>
        <v>4</v>
      </c>
      <c r="D125" s="15"/>
      <c r="E125" s="15"/>
      <c r="F125" s="6"/>
      <c r="G125" s="15">
        <f t="shared" si="25"/>
        <v>-1</v>
      </c>
      <c r="H125" s="15"/>
      <c r="I125" s="15"/>
      <c r="J125" s="6"/>
      <c r="K125" s="13">
        <f t="shared" si="29"/>
        <v>-0.2</v>
      </c>
      <c r="L125" s="13"/>
      <c r="M125" s="13"/>
      <c r="N125" s="6"/>
    </row>
    <row r="126" spans="1:14" x14ac:dyDescent="0.2">
      <c r="A126" s="3" t="s">
        <v>77</v>
      </c>
      <c r="B126" s="1">
        <f>SUM(B70,B42,B98)</f>
        <v>30883</v>
      </c>
      <c r="C126" s="15">
        <f>SUM(C70,C42,C98)</f>
        <v>19745</v>
      </c>
      <c r="D126" s="15"/>
      <c r="E126" s="15"/>
      <c r="F126" s="6"/>
      <c r="G126" s="15">
        <f t="shared" si="25"/>
        <v>-11138</v>
      </c>
      <c r="H126" s="15"/>
      <c r="I126" s="15"/>
      <c r="J126" s="6"/>
      <c r="K126" s="13">
        <f t="shared" si="29"/>
        <v>-0.36065149111161482</v>
      </c>
      <c r="L126" s="13"/>
      <c r="M126" s="13"/>
      <c r="N126" s="6"/>
    </row>
    <row r="127" spans="1:14" x14ac:dyDescent="0.2">
      <c r="A127" s="3" t="s">
        <v>78</v>
      </c>
      <c r="B127" s="5">
        <f>B126/41772</f>
        <v>0.73932299147754477</v>
      </c>
      <c r="C127" s="18">
        <f>C126/41772</f>
        <v>0.47268505218806856</v>
      </c>
      <c r="D127" s="15"/>
      <c r="E127" s="15"/>
      <c r="F127" s="6"/>
      <c r="G127" s="15">
        <f t="shared" si="25"/>
        <v>-0.26663793928947621</v>
      </c>
      <c r="H127" s="15"/>
      <c r="I127" s="15"/>
      <c r="J127" s="6"/>
      <c r="K127" s="13">
        <f t="shared" si="29"/>
        <v>-0.36065149111161482</v>
      </c>
      <c r="L127" s="13"/>
      <c r="M127" s="13"/>
      <c r="N127" s="6"/>
    </row>
    <row r="128" spans="1:14" x14ac:dyDescent="0.2">
      <c r="A128" s="7"/>
      <c r="B128" s="8"/>
      <c r="C128" s="8"/>
      <c r="D128" s="12"/>
      <c r="E128" s="8"/>
      <c r="F128" s="6"/>
      <c r="G128" s="8"/>
      <c r="H128" s="8"/>
      <c r="I128" s="8"/>
      <c r="J128" s="6"/>
      <c r="K128" s="8"/>
      <c r="L128" s="8"/>
      <c r="M128" s="8"/>
      <c r="N128" s="6"/>
    </row>
    <row r="129" spans="1:14" x14ac:dyDescent="0.2">
      <c r="A129" s="3" t="s">
        <v>68</v>
      </c>
      <c r="B129" s="15" t="s">
        <v>73</v>
      </c>
      <c r="C129" s="15"/>
      <c r="D129" s="15"/>
      <c r="E129" s="15"/>
      <c r="F129" s="6"/>
      <c r="G129" s="15" t="s">
        <v>70</v>
      </c>
      <c r="H129" s="15"/>
      <c r="I129" s="15"/>
      <c r="J129" s="6"/>
      <c r="K129" s="15" t="s">
        <v>70</v>
      </c>
      <c r="L129" s="15"/>
      <c r="M129" s="15"/>
      <c r="N129" s="6"/>
    </row>
    <row r="130" spans="1:14" x14ac:dyDescent="0.2">
      <c r="A130" s="3" t="s">
        <v>41</v>
      </c>
      <c r="B130" s="1">
        <f>AVERAGE(B74,B46,B102)</f>
        <v>1.7726230000000001</v>
      </c>
      <c r="C130" s="15">
        <f>AVERAGE(C74,C46,C102)</f>
        <v>1.6238149999999998</v>
      </c>
      <c r="D130" s="15"/>
      <c r="E130" s="15"/>
      <c r="F130" s="6"/>
      <c r="G130" s="15">
        <f t="shared" ref="G130:G141" si="30">C130-B130</f>
        <v>-0.14880800000000027</v>
      </c>
      <c r="H130" s="15"/>
      <c r="I130" s="15"/>
      <c r="J130" s="6"/>
      <c r="K130" s="13">
        <f>G130/B130</f>
        <v>-8.3947912218221399E-2</v>
      </c>
      <c r="L130" s="13"/>
      <c r="M130" s="13"/>
      <c r="N130" s="6"/>
    </row>
    <row r="131" spans="1:14" x14ac:dyDescent="0.2">
      <c r="A131" s="3" t="s">
        <v>42</v>
      </c>
      <c r="B131" s="1">
        <f t="shared" ref="B131:C136" si="31">AVERAGE(B75,B47,B103)</f>
        <v>0.75059833333333337</v>
      </c>
      <c r="C131" s="15">
        <f t="shared" si="31"/>
        <v>0.71430633333333338</v>
      </c>
      <c r="D131" s="15"/>
      <c r="E131" s="15"/>
      <c r="F131" s="6"/>
      <c r="G131" s="15">
        <f t="shared" si="30"/>
        <v>-3.6291999999999991E-2</v>
      </c>
      <c r="H131" s="15"/>
      <c r="I131" s="15"/>
      <c r="J131" s="6"/>
      <c r="K131" s="13">
        <f t="shared" ref="K131:K141" si="32">G131/B131</f>
        <v>-4.8350760171329971E-2</v>
      </c>
      <c r="L131" s="13"/>
      <c r="M131" s="13"/>
      <c r="N131" s="6"/>
    </row>
    <row r="132" spans="1:14" x14ac:dyDescent="0.2">
      <c r="A132" s="3" t="s">
        <v>43</v>
      </c>
      <c r="B132" s="1">
        <f>MEDIAN(B76,B48,B104)</f>
        <v>0</v>
      </c>
      <c r="C132" s="15">
        <f>MEDIAN(C76,C48,C104)</f>
        <v>0</v>
      </c>
      <c r="D132" s="15"/>
      <c r="E132" s="15"/>
      <c r="F132" s="6"/>
      <c r="G132" s="15">
        <f t="shared" si="30"/>
        <v>0</v>
      </c>
      <c r="H132" s="15"/>
      <c r="I132" s="15"/>
      <c r="J132" s="6"/>
      <c r="K132" s="13" t="e">
        <f t="shared" si="32"/>
        <v>#DIV/0!</v>
      </c>
      <c r="L132" s="13"/>
      <c r="M132" s="13"/>
      <c r="N132" s="6"/>
    </row>
    <row r="133" spans="1:14" x14ac:dyDescent="0.2">
      <c r="A133" s="3" t="s">
        <v>44</v>
      </c>
      <c r="B133" s="1">
        <f>MEDIAN(B77,B49,B105)</f>
        <v>0</v>
      </c>
      <c r="C133" s="15">
        <f>MEDIAN(C77,C49,C105)</f>
        <v>0</v>
      </c>
      <c r="D133" s="15"/>
      <c r="E133" s="15"/>
      <c r="F133" s="6"/>
      <c r="G133" s="15">
        <f t="shared" si="30"/>
        <v>0</v>
      </c>
      <c r="H133" s="15"/>
      <c r="I133" s="15"/>
      <c r="J133" s="6"/>
      <c r="K133" s="13" t="e">
        <f t="shared" si="32"/>
        <v>#DIV/0!</v>
      </c>
      <c r="L133" s="13"/>
      <c r="M133" s="13"/>
      <c r="N133" s="6"/>
    </row>
    <row r="134" spans="1:14" x14ac:dyDescent="0.2">
      <c r="A134" s="3" t="s">
        <v>45</v>
      </c>
      <c r="B134" s="1">
        <f>MIN(B78,B50,B106)</f>
        <v>-24</v>
      </c>
      <c r="C134" s="15">
        <f>MIN(C78,C50,C106)</f>
        <v>-18</v>
      </c>
      <c r="D134" s="15"/>
      <c r="E134" s="15"/>
      <c r="F134" s="6"/>
      <c r="G134" s="15">
        <f t="shared" si="30"/>
        <v>6</v>
      </c>
      <c r="H134" s="15"/>
      <c r="I134" s="15"/>
      <c r="J134" s="6"/>
      <c r="K134" s="13">
        <f t="shared" si="32"/>
        <v>-0.25</v>
      </c>
      <c r="L134" s="13"/>
      <c r="M134" s="13"/>
      <c r="N134" s="6"/>
    </row>
    <row r="135" spans="1:14" x14ac:dyDescent="0.2">
      <c r="A135" s="3" t="s">
        <v>46</v>
      </c>
      <c r="B135" s="1">
        <f>MAX(B79,B51,B107)</f>
        <v>19</v>
      </c>
      <c r="C135" s="15">
        <f>MAX(C79,C51,C107)</f>
        <v>30</v>
      </c>
      <c r="D135" s="15"/>
      <c r="E135" s="15"/>
      <c r="F135" s="6"/>
      <c r="G135" s="15">
        <f t="shared" si="30"/>
        <v>11</v>
      </c>
      <c r="H135" s="15"/>
      <c r="I135" s="15"/>
      <c r="J135" s="6"/>
      <c r="K135" s="13">
        <f t="shared" si="32"/>
        <v>0.57894736842105265</v>
      </c>
      <c r="L135" s="13"/>
      <c r="M135" s="13"/>
      <c r="N135" s="6"/>
    </row>
    <row r="136" spans="1:14" x14ac:dyDescent="0.2">
      <c r="A136" s="3" t="s">
        <v>47</v>
      </c>
      <c r="B136" s="1">
        <f t="shared" si="31"/>
        <v>7.5333956666666673</v>
      </c>
      <c r="C136" s="15">
        <f t="shared" si="31"/>
        <v>7.5451496666666662</v>
      </c>
      <c r="D136" s="15"/>
      <c r="E136" s="15"/>
      <c r="F136" s="6"/>
      <c r="G136" s="15">
        <f t="shared" si="30"/>
        <v>1.1753999999998932E-2</v>
      </c>
      <c r="H136" s="15"/>
      <c r="I136" s="15"/>
      <c r="J136" s="6"/>
      <c r="K136" s="13">
        <f t="shared" si="32"/>
        <v>1.5602525766710157E-3</v>
      </c>
      <c r="L136" s="13"/>
      <c r="M136" s="13"/>
      <c r="N136" s="6"/>
    </row>
    <row r="137" spans="1:14" x14ac:dyDescent="0.2">
      <c r="A137" s="3" t="s">
        <v>48</v>
      </c>
      <c r="B137" s="1">
        <f>MEDIAN(B81,B53,B109)</f>
        <v>8</v>
      </c>
      <c r="C137" s="15">
        <f>MEDIAN(C81,C53,C109)</f>
        <v>8</v>
      </c>
      <c r="D137" s="15"/>
      <c r="E137" s="15"/>
      <c r="F137" s="6"/>
      <c r="G137" s="15">
        <f t="shared" si="30"/>
        <v>0</v>
      </c>
      <c r="H137" s="15"/>
      <c r="I137" s="15"/>
      <c r="J137" s="6"/>
      <c r="K137" s="13">
        <f t="shared" si="32"/>
        <v>0</v>
      </c>
      <c r="L137" s="13"/>
      <c r="M137" s="13"/>
      <c r="N137" s="6"/>
    </row>
    <row r="138" spans="1:14" x14ac:dyDescent="0.2">
      <c r="A138" s="3" t="s">
        <v>49</v>
      </c>
      <c r="B138" s="1">
        <f>MAX(B82,B54,B110)</f>
        <v>8</v>
      </c>
      <c r="C138" s="15">
        <f>MAX(C82,C54,C110)</f>
        <v>8</v>
      </c>
      <c r="D138" s="15"/>
      <c r="E138" s="15"/>
      <c r="F138" s="6"/>
      <c r="G138" s="15">
        <f t="shared" si="30"/>
        <v>0</v>
      </c>
      <c r="H138" s="15"/>
      <c r="I138" s="15"/>
      <c r="J138" s="6"/>
      <c r="K138" s="13">
        <f t="shared" si="32"/>
        <v>0</v>
      </c>
      <c r="L138" s="13"/>
      <c r="M138" s="13"/>
      <c r="N138" s="6"/>
    </row>
    <row r="139" spans="1:14" x14ac:dyDescent="0.2">
      <c r="A139" s="3" t="s">
        <v>50</v>
      </c>
      <c r="B139" s="1">
        <f>MIN(B83,B55,B111)</f>
        <v>3</v>
      </c>
      <c r="C139" s="15">
        <f>MIN(C83,C55,C111)</f>
        <v>4</v>
      </c>
      <c r="D139" s="15"/>
      <c r="E139" s="15"/>
      <c r="F139" s="6"/>
      <c r="G139" s="15">
        <f t="shared" si="30"/>
        <v>1</v>
      </c>
      <c r="H139" s="15"/>
      <c r="I139" s="15"/>
      <c r="J139" s="6"/>
      <c r="K139" s="13">
        <f t="shared" si="32"/>
        <v>0.33333333333333331</v>
      </c>
      <c r="L139" s="13"/>
      <c r="M139" s="13"/>
      <c r="N139" s="6"/>
    </row>
    <row r="140" spans="1:14" x14ac:dyDescent="0.2">
      <c r="A140" s="3" t="s">
        <v>76</v>
      </c>
      <c r="B140" s="1">
        <f>SUM(B84,B56,B112)</f>
        <v>25966</v>
      </c>
      <c r="C140" s="15">
        <f>SUM(C84,C56,C112)</f>
        <v>26103</v>
      </c>
      <c r="D140" s="15"/>
      <c r="E140" s="15"/>
      <c r="F140" s="6"/>
      <c r="G140" s="15">
        <f t="shared" si="30"/>
        <v>137</v>
      </c>
      <c r="H140" s="15"/>
      <c r="I140" s="15"/>
      <c r="J140" s="6"/>
      <c r="K140" s="13">
        <f t="shared" si="32"/>
        <v>5.2761303242701996E-3</v>
      </c>
      <c r="L140" s="13"/>
      <c r="M140" s="13"/>
      <c r="N140" s="6"/>
    </row>
    <row r="141" spans="1:14" x14ac:dyDescent="0.2">
      <c r="A141" s="3" t="s">
        <v>79</v>
      </c>
      <c r="B141" s="5">
        <f>B140/41772</f>
        <v>0.62161256343962468</v>
      </c>
      <c r="C141" s="18">
        <f>C140/41772</f>
        <v>0.62489227233553579</v>
      </c>
      <c r="D141" s="15"/>
      <c r="E141" s="15"/>
      <c r="F141" s="6"/>
      <c r="G141" s="15">
        <f t="shared" si="30"/>
        <v>3.2797088959111154E-3</v>
      </c>
      <c r="H141" s="15"/>
      <c r="I141" s="15"/>
      <c r="J141" s="6"/>
      <c r="K141" s="13">
        <f t="shared" si="32"/>
        <v>5.2761303242701649E-3</v>
      </c>
      <c r="L141" s="13"/>
      <c r="M141" s="13"/>
      <c r="N141" s="6"/>
    </row>
    <row r="142" spans="1:14" x14ac:dyDescent="0.2">
      <c r="A142" s="7"/>
      <c r="B142" s="8"/>
      <c r="C142" s="8"/>
      <c r="D142" s="12"/>
      <c r="E142" s="8"/>
      <c r="F142" s="6"/>
      <c r="G142" s="8"/>
      <c r="H142" s="8"/>
      <c r="I142" s="8"/>
      <c r="J142" s="6"/>
      <c r="K142" s="8"/>
      <c r="L142" s="8"/>
      <c r="M142" s="8"/>
      <c r="N142" s="6"/>
    </row>
    <row r="143" spans="1:14" x14ac:dyDescent="0.2">
      <c r="A143" s="3" t="s">
        <v>65</v>
      </c>
      <c r="B143" s="15" t="s">
        <v>64</v>
      </c>
      <c r="C143" s="15"/>
      <c r="D143" s="15"/>
      <c r="E143" s="15"/>
      <c r="F143" s="6"/>
      <c r="G143" s="15">
        <v>0</v>
      </c>
      <c r="H143" s="15"/>
      <c r="I143" s="15"/>
      <c r="J143" s="6"/>
      <c r="K143" s="17">
        <v>0</v>
      </c>
      <c r="L143" s="17"/>
      <c r="M143" s="17"/>
      <c r="N143" s="6"/>
    </row>
    <row r="144" spans="1:14" x14ac:dyDescent="0.2">
      <c r="A144" s="3" t="s">
        <v>57</v>
      </c>
      <c r="B144" s="15">
        <v>1</v>
      </c>
      <c r="C144" s="15"/>
      <c r="D144" s="15"/>
      <c r="E144" s="15"/>
      <c r="F144" s="6"/>
      <c r="G144" s="15">
        <v>0</v>
      </c>
      <c r="H144" s="15"/>
      <c r="I144" s="15"/>
      <c r="J144" s="6"/>
      <c r="K144" s="13">
        <f>G144/B144</f>
        <v>0</v>
      </c>
      <c r="L144" s="13"/>
      <c r="M144" s="13"/>
      <c r="N144" s="6"/>
    </row>
    <row r="145" spans="1:14" x14ac:dyDescent="0.2">
      <c r="A145" s="3" t="s">
        <v>58</v>
      </c>
      <c r="B145" s="15">
        <v>278529</v>
      </c>
      <c r="C145" s="15"/>
      <c r="D145" s="15"/>
      <c r="E145" s="15"/>
      <c r="F145" s="6"/>
      <c r="G145" s="15">
        <v>0</v>
      </c>
      <c r="H145" s="15"/>
      <c r="I145" s="15"/>
      <c r="J145" s="6"/>
      <c r="K145" s="13">
        <f>G145/B145</f>
        <v>0</v>
      </c>
      <c r="L145" s="13"/>
      <c r="M145" s="13"/>
      <c r="N145" s="6"/>
    </row>
    <row r="146" spans="1:14" x14ac:dyDescent="0.2">
      <c r="A146" s="3" t="s">
        <v>55</v>
      </c>
      <c r="B146" s="15">
        <v>279934</v>
      </c>
      <c r="C146" s="15"/>
      <c r="D146" s="15"/>
      <c r="E146" s="15"/>
      <c r="F146" s="6"/>
      <c r="G146" s="15">
        <v>0</v>
      </c>
      <c r="H146" s="15"/>
      <c r="I146" s="15"/>
      <c r="J146" s="6"/>
      <c r="K146" s="13">
        <f>G146/B146</f>
        <v>0</v>
      </c>
      <c r="L146" s="13"/>
      <c r="M146" s="13"/>
      <c r="N146" s="6"/>
    </row>
    <row r="147" spans="1:14" x14ac:dyDescent="0.2">
      <c r="A147" s="3" t="s">
        <v>56</v>
      </c>
      <c r="B147" s="15">
        <v>294511</v>
      </c>
      <c r="C147" s="15"/>
      <c r="D147" s="15"/>
      <c r="E147" s="15"/>
      <c r="F147" s="6"/>
      <c r="G147" s="15">
        <v>0</v>
      </c>
      <c r="H147" s="15"/>
      <c r="I147" s="15"/>
      <c r="J147" s="6"/>
      <c r="K147" s="13">
        <f>G147/B147</f>
        <v>0</v>
      </c>
      <c r="L147" s="13"/>
      <c r="M147" s="13"/>
      <c r="N147" s="6"/>
    </row>
    <row r="148" spans="1:14" x14ac:dyDescent="0.2">
      <c r="A148" s="3" t="s">
        <v>59</v>
      </c>
      <c r="B148" s="15">
        <f>B147-B144</f>
        <v>294510</v>
      </c>
      <c r="C148" s="15"/>
      <c r="D148" s="15"/>
      <c r="E148" s="15"/>
      <c r="F148" s="6"/>
      <c r="G148" s="15">
        <v>0</v>
      </c>
      <c r="H148" s="15"/>
      <c r="I148" s="15"/>
      <c r="J148" s="6"/>
      <c r="K148" s="13">
        <f>G148/B148</f>
        <v>0</v>
      </c>
      <c r="L148" s="13"/>
      <c r="M148" s="13"/>
      <c r="N148" s="6"/>
    </row>
    <row r="149" spans="1:14" x14ac:dyDescent="0.2">
      <c r="A149" s="3" t="s">
        <v>61</v>
      </c>
      <c r="B149" s="15">
        <f>B148/(B3*10^3)</f>
        <v>3.6813750000000001</v>
      </c>
      <c r="C149" s="15"/>
      <c r="D149" s="15"/>
      <c r="E149" s="1">
        <f>B148/(E3*10^3)</f>
        <v>1.6829142857142858</v>
      </c>
      <c r="F149" s="6"/>
      <c r="G149" s="15">
        <v>0</v>
      </c>
      <c r="H149" s="15"/>
      <c r="I149" s="1">
        <f>E149-B149</f>
        <v>-1.9984607142857143</v>
      </c>
      <c r="J149" s="6"/>
      <c r="K149" s="13">
        <v>0</v>
      </c>
      <c r="L149" s="13"/>
      <c r="M149" s="5">
        <f>I149/B149</f>
        <v>-0.54285714285714282</v>
      </c>
      <c r="N149" s="6"/>
    </row>
    <row r="150" spans="1:14" x14ac:dyDescent="0.2">
      <c r="A150" s="3" t="s">
        <v>60</v>
      </c>
      <c r="B150" s="15">
        <f>B147-B145</f>
        <v>15982</v>
      </c>
      <c r="C150" s="15"/>
      <c r="D150" s="15"/>
      <c r="E150" s="15"/>
      <c r="F150" s="6"/>
      <c r="G150" s="15">
        <v>0</v>
      </c>
      <c r="H150" s="15"/>
      <c r="I150" s="15"/>
      <c r="J150" s="6"/>
      <c r="K150" s="13">
        <f>G150/B150</f>
        <v>0</v>
      </c>
      <c r="L150" s="13"/>
      <c r="M150" s="13"/>
      <c r="N150" s="6"/>
    </row>
    <row r="151" spans="1:14" x14ac:dyDescent="0.2">
      <c r="A151" s="3" t="s">
        <v>62</v>
      </c>
      <c r="B151" s="15">
        <f>B150/B3</f>
        <v>199.77500000000001</v>
      </c>
      <c r="C151" s="15"/>
      <c r="D151" s="15"/>
      <c r="E151" s="1">
        <f>B150/E3</f>
        <v>91.325714285714284</v>
      </c>
      <c r="F151" s="6"/>
      <c r="G151" s="15">
        <v>0</v>
      </c>
      <c r="H151" s="15"/>
      <c r="I151" s="1">
        <f>E151-B151</f>
        <v>-108.44928571428572</v>
      </c>
      <c r="J151" s="6"/>
      <c r="K151" s="13">
        <v>0</v>
      </c>
      <c r="L151" s="13"/>
      <c r="M151" s="5">
        <f>I151/B151</f>
        <v>-0.54285714285714293</v>
      </c>
      <c r="N151" s="6"/>
    </row>
    <row r="152" spans="1:14" x14ac:dyDescent="0.2">
      <c r="A152" s="3" t="s">
        <v>63</v>
      </c>
      <c r="B152" s="1">
        <f>B12*B149</f>
        <v>2953.08858375</v>
      </c>
      <c r="C152" s="1">
        <f>C12*B149</f>
        <v>2179.0794900000001</v>
      </c>
      <c r="D152" s="11">
        <f>D12*B149</f>
        <v>2214.2734350000001</v>
      </c>
      <c r="E152" s="1">
        <f>E12*E149</f>
        <v>1367.0817617142859</v>
      </c>
      <c r="F152" s="6"/>
      <c r="G152" s="1">
        <f>C152-B152</f>
        <v>-774.00909374999992</v>
      </c>
      <c r="H152" s="1">
        <f>D152-B152</f>
        <v>-738.81514874999993</v>
      </c>
      <c r="I152" s="1">
        <f>E152-B152</f>
        <v>-1586.0068220357141</v>
      </c>
      <c r="J152" s="6"/>
      <c r="K152" s="5">
        <f>G152/B152</f>
        <v>-0.26210154954685411</v>
      </c>
      <c r="L152" s="5">
        <f>H152/B152</f>
        <v>-0.25018387623571059</v>
      </c>
      <c r="M152" s="5"/>
      <c r="N152" s="6"/>
    </row>
    <row r="153" spans="1:14" x14ac:dyDescent="0.2">
      <c r="A153" s="3" t="s">
        <v>66</v>
      </c>
      <c r="B153" s="15">
        <f>1/(B149/1000)</f>
        <v>271.63763539438389</v>
      </c>
      <c r="C153" s="15"/>
      <c r="D153" s="15"/>
      <c r="E153" s="1">
        <f>1/(E149/1000)</f>
        <v>594.20732742521477</v>
      </c>
      <c r="F153" s="6"/>
      <c r="G153" s="15">
        <v>0</v>
      </c>
      <c r="H153" s="15"/>
      <c r="I153" s="1">
        <f>E153-B153</f>
        <v>322.56969203083088</v>
      </c>
      <c r="J153" s="6"/>
      <c r="K153" s="13">
        <v>0</v>
      </c>
      <c r="L153" s="13"/>
      <c r="M153" s="5">
        <f>I153/B153</f>
        <v>1.1875</v>
      </c>
      <c r="N153" s="6"/>
    </row>
    <row r="154" spans="1:14" x14ac:dyDescent="0.2">
      <c r="A154" s="7"/>
      <c r="B154" s="8"/>
      <c r="C154" s="8"/>
      <c r="D154" s="12"/>
      <c r="E154" s="8"/>
      <c r="F154" s="6"/>
      <c r="G154" s="8"/>
      <c r="H154" s="8"/>
      <c r="I154" s="8"/>
      <c r="J154" s="6"/>
      <c r="K154" s="8"/>
      <c r="L154" s="8"/>
      <c r="M154" s="8"/>
      <c r="N154" s="6"/>
    </row>
  </sheetData>
  <mergeCells count="353">
    <mergeCell ref="C84:E84"/>
    <mergeCell ref="G84:I84"/>
    <mergeCell ref="K84:M84"/>
    <mergeCell ref="C85:E85"/>
    <mergeCell ref="G85:I85"/>
    <mergeCell ref="K85:M85"/>
    <mergeCell ref="C81:E81"/>
    <mergeCell ref="G81:I81"/>
    <mergeCell ref="K81:M81"/>
    <mergeCell ref="C82:E82"/>
    <mergeCell ref="G82:I82"/>
    <mergeCell ref="K82:M82"/>
    <mergeCell ref="C83:E83"/>
    <mergeCell ref="G83:I83"/>
    <mergeCell ref="K83:M83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C75:E75"/>
    <mergeCell ref="G75:I75"/>
    <mergeCell ref="K75:M75"/>
    <mergeCell ref="C76:E76"/>
    <mergeCell ref="G76:I76"/>
    <mergeCell ref="K76:M76"/>
    <mergeCell ref="C77:E77"/>
    <mergeCell ref="G77:I77"/>
    <mergeCell ref="K77:M77"/>
    <mergeCell ref="C71:E71"/>
    <mergeCell ref="G71:I71"/>
    <mergeCell ref="K71:M71"/>
    <mergeCell ref="B73:E73"/>
    <mergeCell ref="G73:I73"/>
    <mergeCell ref="K73:M73"/>
    <mergeCell ref="C74:E74"/>
    <mergeCell ref="G74:I74"/>
    <mergeCell ref="K74:M74"/>
    <mergeCell ref="C68:E68"/>
    <mergeCell ref="G68:I68"/>
    <mergeCell ref="K68:M68"/>
    <mergeCell ref="C69:E69"/>
    <mergeCell ref="G69:I69"/>
    <mergeCell ref="K69:M69"/>
    <mergeCell ref="C70:E70"/>
    <mergeCell ref="G70:I70"/>
    <mergeCell ref="K70:M70"/>
    <mergeCell ref="C65:E65"/>
    <mergeCell ref="G65:I65"/>
    <mergeCell ref="K65:M65"/>
    <mergeCell ref="C66:E66"/>
    <mergeCell ref="G66:I66"/>
    <mergeCell ref="K66:M66"/>
    <mergeCell ref="C67:E67"/>
    <mergeCell ref="G67:I67"/>
    <mergeCell ref="K67:M67"/>
    <mergeCell ref="C112:E112"/>
    <mergeCell ref="G112:I112"/>
    <mergeCell ref="K112:M112"/>
    <mergeCell ref="C113:E113"/>
    <mergeCell ref="G113:I113"/>
    <mergeCell ref="K113:M113"/>
    <mergeCell ref="B59:E59"/>
    <mergeCell ref="G59:I59"/>
    <mergeCell ref="K59:M59"/>
    <mergeCell ref="C60:E60"/>
    <mergeCell ref="G60:I60"/>
    <mergeCell ref="K60:M60"/>
    <mergeCell ref="C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109:E109"/>
    <mergeCell ref="G109:I109"/>
    <mergeCell ref="K109:M109"/>
    <mergeCell ref="C110:E110"/>
    <mergeCell ref="G110:I110"/>
    <mergeCell ref="K110:M110"/>
    <mergeCell ref="C111:E111"/>
    <mergeCell ref="G111:I111"/>
    <mergeCell ref="K111:M111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C103:E103"/>
    <mergeCell ref="G103:I103"/>
    <mergeCell ref="K103:M103"/>
    <mergeCell ref="C104:E104"/>
    <mergeCell ref="G104:I104"/>
    <mergeCell ref="K104:M104"/>
    <mergeCell ref="C105:E105"/>
    <mergeCell ref="G105:I105"/>
    <mergeCell ref="K105:M105"/>
    <mergeCell ref="C99:E99"/>
    <mergeCell ref="G99:I99"/>
    <mergeCell ref="K99:M99"/>
    <mergeCell ref="B101:E101"/>
    <mergeCell ref="G101:I101"/>
    <mergeCell ref="K101:M101"/>
    <mergeCell ref="C102:E102"/>
    <mergeCell ref="G102:I102"/>
    <mergeCell ref="K102:M102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C93:E93"/>
    <mergeCell ref="G93:I93"/>
    <mergeCell ref="K93:M93"/>
    <mergeCell ref="C94:E94"/>
    <mergeCell ref="G94:I94"/>
    <mergeCell ref="K94:M94"/>
    <mergeCell ref="C95:E95"/>
    <mergeCell ref="G95:I95"/>
    <mergeCell ref="K95:M95"/>
    <mergeCell ref="C90:E90"/>
    <mergeCell ref="G90:I90"/>
    <mergeCell ref="K90:M90"/>
    <mergeCell ref="C91:E91"/>
    <mergeCell ref="G91:I91"/>
    <mergeCell ref="K91:M91"/>
    <mergeCell ref="C92:E92"/>
    <mergeCell ref="G92:I92"/>
    <mergeCell ref="K92:M92"/>
    <mergeCell ref="B87:E87"/>
    <mergeCell ref="G87:I87"/>
    <mergeCell ref="K87:M87"/>
    <mergeCell ref="C88:E88"/>
    <mergeCell ref="G88:I88"/>
    <mergeCell ref="K88:M88"/>
    <mergeCell ref="C89:E89"/>
    <mergeCell ref="G89:I89"/>
    <mergeCell ref="K89:M89"/>
    <mergeCell ref="C139:E139"/>
    <mergeCell ref="G139:I139"/>
    <mergeCell ref="K139:M139"/>
    <mergeCell ref="C140:E140"/>
    <mergeCell ref="G140:I140"/>
    <mergeCell ref="K140:M140"/>
    <mergeCell ref="C141:E141"/>
    <mergeCell ref="G141:I141"/>
    <mergeCell ref="K141:M141"/>
    <mergeCell ref="C136:E136"/>
    <mergeCell ref="G136:I136"/>
    <mergeCell ref="K136:M136"/>
    <mergeCell ref="C137:E137"/>
    <mergeCell ref="G137:I137"/>
    <mergeCell ref="K137:M137"/>
    <mergeCell ref="C138:E138"/>
    <mergeCell ref="G138:I138"/>
    <mergeCell ref="K138:M138"/>
    <mergeCell ref="C133:E133"/>
    <mergeCell ref="G133:I133"/>
    <mergeCell ref="K133:M133"/>
    <mergeCell ref="C134:E134"/>
    <mergeCell ref="G134:I134"/>
    <mergeCell ref="K134:M134"/>
    <mergeCell ref="C135:E135"/>
    <mergeCell ref="G135:I135"/>
    <mergeCell ref="K135:M135"/>
    <mergeCell ref="C130:E130"/>
    <mergeCell ref="G130:I130"/>
    <mergeCell ref="K130:M130"/>
    <mergeCell ref="C131:E131"/>
    <mergeCell ref="G131:I131"/>
    <mergeCell ref="K131:M131"/>
    <mergeCell ref="C132:E132"/>
    <mergeCell ref="G132:I132"/>
    <mergeCell ref="K132:M132"/>
    <mergeCell ref="C126:E126"/>
    <mergeCell ref="G126:I126"/>
    <mergeCell ref="K126:M126"/>
    <mergeCell ref="C127:E127"/>
    <mergeCell ref="G127:I127"/>
    <mergeCell ref="K127:M127"/>
    <mergeCell ref="B129:E129"/>
    <mergeCell ref="G129:I129"/>
    <mergeCell ref="K129:M129"/>
    <mergeCell ref="C123:E123"/>
    <mergeCell ref="G123:I123"/>
    <mergeCell ref="K123:M123"/>
    <mergeCell ref="C124:E124"/>
    <mergeCell ref="G124:I124"/>
    <mergeCell ref="K124:M124"/>
    <mergeCell ref="C125:E125"/>
    <mergeCell ref="G125:I125"/>
    <mergeCell ref="K125:M125"/>
    <mergeCell ref="K119:M119"/>
    <mergeCell ref="C120:E120"/>
    <mergeCell ref="G120:I120"/>
    <mergeCell ref="K120:M120"/>
    <mergeCell ref="C121:E121"/>
    <mergeCell ref="G121:I121"/>
    <mergeCell ref="K121:M121"/>
    <mergeCell ref="C122:E122"/>
    <mergeCell ref="G122:I122"/>
    <mergeCell ref="K122:M122"/>
    <mergeCell ref="K144:M144"/>
    <mergeCell ref="K145:M145"/>
    <mergeCell ref="K146:M146"/>
    <mergeCell ref="K147:M147"/>
    <mergeCell ref="K148:M148"/>
    <mergeCell ref="B31:E31"/>
    <mergeCell ref="G31:I31"/>
    <mergeCell ref="K31:M31"/>
    <mergeCell ref="B45:E45"/>
    <mergeCell ref="G45:I45"/>
    <mergeCell ref="K45:M45"/>
    <mergeCell ref="B115:E115"/>
    <mergeCell ref="G115:I115"/>
    <mergeCell ref="K115:M115"/>
    <mergeCell ref="C116:E116"/>
    <mergeCell ref="G116:I116"/>
    <mergeCell ref="K116:M116"/>
    <mergeCell ref="C117:E117"/>
    <mergeCell ref="G117:I117"/>
    <mergeCell ref="K117:M117"/>
    <mergeCell ref="C118:E118"/>
    <mergeCell ref="G118:I118"/>
    <mergeCell ref="K118:M118"/>
    <mergeCell ref="C119:E119"/>
    <mergeCell ref="K143:M143"/>
    <mergeCell ref="G150:I150"/>
    <mergeCell ref="G151:H151"/>
    <mergeCell ref="G149:H149"/>
    <mergeCell ref="G153:H153"/>
    <mergeCell ref="K46:M46"/>
    <mergeCell ref="K47:M47"/>
    <mergeCell ref="K48:M48"/>
    <mergeCell ref="K49:M49"/>
    <mergeCell ref="K50:M50"/>
    <mergeCell ref="K51:M51"/>
    <mergeCell ref="K52:M52"/>
    <mergeCell ref="K53:M53"/>
    <mergeCell ref="K54:M54"/>
    <mergeCell ref="K55:M55"/>
    <mergeCell ref="K56:M56"/>
    <mergeCell ref="K57:M57"/>
    <mergeCell ref="G144:I144"/>
    <mergeCell ref="G145:I145"/>
    <mergeCell ref="G146:I146"/>
    <mergeCell ref="K150:M150"/>
    <mergeCell ref="K149:L149"/>
    <mergeCell ref="K151:L151"/>
    <mergeCell ref="K153:L153"/>
    <mergeCell ref="G55:I55"/>
    <mergeCell ref="G56:I56"/>
    <mergeCell ref="G57:I57"/>
    <mergeCell ref="G143:I143"/>
    <mergeCell ref="G49:I49"/>
    <mergeCell ref="G50:I50"/>
    <mergeCell ref="G51:I51"/>
    <mergeCell ref="G52:I52"/>
    <mergeCell ref="G53:I53"/>
    <mergeCell ref="G119:I119"/>
    <mergeCell ref="B151:D151"/>
    <mergeCell ref="B153:D153"/>
    <mergeCell ref="G32:I32"/>
    <mergeCell ref="G33:I33"/>
    <mergeCell ref="G34:I34"/>
    <mergeCell ref="G35:I35"/>
    <mergeCell ref="G36:I36"/>
    <mergeCell ref="G37:I37"/>
    <mergeCell ref="G38:I38"/>
    <mergeCell ref="G39:I39"/>
    <mergeCell ref="G40:I40"/>
    <mergeCell ref="G41:I41"/>
    <mergeCell ref="G42:I42"/>
    <mergeCell ref="G43:I43"/>
    <mergeCell ref="C38:E38"/>
    <mergeCell ref="C39:E39"/>
    <mergeCell ref="C40:E40"/>
    <mergeCell ref="C41:E41"/>
    <mergeCell ref="C42:E42"/>
    <mergeCell ref="B145:E145"/>
    <mergeCell ref="B146:E146"/>
    <mergeCell ref="B147:E147"/>
    <mergeCell ref="G147:I147"/>
    <mergeCell ref="G148:I148"/>
    <mergeCell ref="B148:E148"/>
    <mergeCell ref="B150:E150"/>
    <mergeCell ref="C55:E55"/>
    <mergeCell ref="C56:E56"/>
    <mergeCell ref="C57:E57"/>
    <mergeCell ref="B143:E143"/>
    <mergeCell ref="B144:E144"/>
    <mergeCell ref="D5:E5"/>
    <mergeCell ref="D7:E7"/>
    <mergeCell ref="D8:E8"/>
    <mergeCell ref="D9:E9"/>
    <mergeCell ref="D10:E10"/>
    <mergeCell ref="C32:E32"/>
    <mergeCell ref="C33:E33"/>
    <mergeCell ref="C34:E34"/>
    <mergeCell ref="C35:E35"/>
    <mergeCell ref="C36:E36"/>
    <mergeCell ref="C37:E37"/>
    <mergeCell ref="C46:E46"/>
    <mergeCell ref="C47:E47"/>
    <mergeCell ref="C48:E48"/>
    <mergeCell ref="C49:E49"/>
    <mergeCell ref="C43:E43"/>
    <mergeCell ref="B149:D149"/>
    <mergeCell ref="G46:I46"/>
    <mergeCell ref="G47:I47"/>
    <mergeCell ref="G48:I48"/>
    <mergeCell ref="C50:E50"/>
    <mergeCell ref="C51:E51"/>
    <mergeCell ref="C52:E52"/>
    <mergeCell ref="C53:E53"/>
    <mergeCell ref="C54:E54"/>
    <mergeCell ref="K37:M37"/>
    <mergeCell ref="K38:M38"/>
    <mergeCell ref="K39:M39"/>
    <mergeCell ref="G54:I54"/>
    <mergeCell ref="K40:M40"/>
    <mergeCell ref="K41:M41"/>
    <mergeCell ref="K42:M42"/>
    <mergeCell ref="K43:M43"/>
    <mergeCell ref="K33:M33"/>
    <mergeCell ref="K34:M34"/>
    <mergeCell ref="K35:M35"/>
    <mergeCell ref="K36:M36"/>
    <mergeCell ref="A1:A2"/>
    <mergeCell ref="B1:E1"/>
    <mergeCell ref="G1:I1"/>
    <mergeCell ref="K1:M1"/>
    <mergeCell ref="K32:M32"/>
    <mergeCell ref="B3:D3"/>
    <mergeCell ref="G3:H3"/>
  </mergeCells>
  <phoneticPr fontId="2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2026-05-23T14:30:47Z</dcterms:modified>
</cp:coreProperties>
</file>
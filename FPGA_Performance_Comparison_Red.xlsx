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Biswas/Desktop/Documents/University/Year 5/Semester 1/AMME4112/Code/"/>
    </mc:Choice>
  </mc:AlternateContent>
  <xr:revisionPtr revIDLastSave="0" documentId="13_ncr:1_{71F3086F-B49B-0D41-986E-700C117B30ED}" xr6:coauthVersionLast="47" xr6:coauthVersionMax="47" xr10:uidLastSave="{00000000-0000-0000-0000-000000000000}"/>
  <bookViews>
    <workbookView xWindow="20" yWindow="660" windowWidth="16500" windowHeight="17760" xr2:uid="{49DEC02E-5D37-064F-A7E8-1E1DC7B5F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2" i="1" l="1"/>
  <c r="B141" i="1"/>
  <c r="B140" i="1"/>
  <c r="B139" i="1"/>
  <c r="B138" i="1"/>
  <c r="B137" i="1"/>
  <c r="B136" i="1"/>
  <c r="B135" i="1"/>
  <c r="B134" i="1"/>
  <c r="B133" i="1"/>
  <c r="B132" i="1" l="1"/>
  <c r="B143" i="1"/>
  <c r="B129" i="1"/>
  <c r="B119" i="1"/>
  <c r="B120" i="1"/>
  <c r="B121" i="1"/>
  <c r="B122" i="1"/>
  <c r="B123" i="1"/>
  <c r="B124" i="1"/>
  <c r="B125" i="1"/>
  <c r="B126" i="1"/>
  <c r="B127" i="1"/>
  <c r="B128" i="1"/>
  <c r="B118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43" i="1"/>
  <c r="C133" i="1"/>
  <c r="C134" i="1"/>
  <c r="C135" i="1"/>
  <c r="C136" i="1"/>
  <c r="C137" i="1"/>
  <c r="C138" i="1"/>
  <c r="C139" i="1"/>
  <c r="C140" i="1"/>
  <c r="C141" i="1"/>
  <c r="C142" i="1"/>
  <c r="C132" i="1"/>
  <c r="G87" i="1" l="1"/>
  <c r="K87" i="1" s="1"/>
  <c r="G86" i="1"/>
  <c r="K86" i="1" s="1"/>
  <c r="G85" i="1"/>
  <c r="K85" i="1" s="1"/>
  <c r="G84" i="1"/>
  <c r="K84" i="1" s="1"/>
  <c r="G83" i="1"/>
  <c r="K83" i="1" s="1"/>
  <c r="G82" i="1"/>
  <c r="K82" i="1" s="1"/>
  <c r="G81" i="1"/>
  <c r="K81" i="1" s="1"/>
  <c r="G80" i="1"/>
  <c r="K80" i="1" s="1"/>
  <c r="G79" i="1"/>
  <c r="G78" i="1"/>
  <c r="G77" i="1"/>
  <c r="K77" i="1" s="1"/>
  <c r="G76" i="1"/>
  <c r="K76" i="1" s="1"/>
  <c r="G73" i="1"/>
  <c r="K73" i="1" s="1"/>
  <c r="G72" i="1"/>
  <c r="K72" i="1" s="1"/>
  <c r="G71" i="1"/>
  <c r="K71" i="1" s="1"/>
  <c r="G70" i="1"/>
  <c r="K70" i="1" s="1"/>
  <c r="G69" i="1"/>
  <c r="K69" i="1" s="1"/>
  <c r="G68" i="1"/>
  <c r="K68" i="1" s="1"/>
  <c r="G67" i="1"/>
  <c r="K67" i="1" s="1"/>
  <c r="G66" i="1"/>
  <c r="K66" i="1" s="1"/>
  <c r="G65" i="1"/>
  <c r="G64" i="1"/>
  <c r="G63" i="1"/>
  <c r="K63" i="1" s="1"/>
  <c r="G62" i="1"/>
  <c r="K62" i="1" s="1"/>
  <c r="G115" i="1"/>
  <c r="K115" i="1" s="1"/>
  <c r="G114" i="1"/>
  <c r="K114" i="1" s="1"/>
  <c r="G113" i="1"/>
  <c r="K113" i="1" s="1"/>
  <c r="G112" i="1"/>
  <c r="K112" i="1" s="1"/>
  <c r="G111" i="1"/>
  <c r="K111" i="1" s="1"/>
  <c r="G110" i="1"/>
  <c r="K110" i="1" s="1"/>
  <c r="G109" i="1"/>
  <c r="K109" i="1" s="1"/>
  <c r="G108" i="1"/>
  <c r="K108" i="1" s="1"/>
  <c r="G107" i="1"/>
  <c r="G106" i="1"/>
  <c r="G105" i="1"/>
  <c r="K105" i="1" s="1"/>
  <c r="G104" i="1"/>
  <c r="K104" i="1" s="1"/>
  <c r="G101" i="1"/>
  <c r="K101" i="1" s="1"/>
  <c r="G100" i="1"/>
  <c r="K100" i="1" s="1"/>
  <c r="G99" i="1"/>
  <c r="K99" i="1" s="1"/>
  <c r="G98" i="1"/>
  <c r="K98" i="1" s="1"/>
  <c r="G97" i="1"/>
  <c r="K97" i="1" s="1"/>
  <c r="G96" i="1"/>
  <c r="K96" i="1" s="1"/>
  <c r="G95" i="1"/>
  <c r="K95" i="1" s="1"/>
  <c r="G94" i="1"/>
  <c r="K94" i="1" s="1"/>
  <c r="G93" i="1"/>
  <c r="G92" i="1"/>
  <c r="G91" i="1"/>
  <c r="K91" i="1" s="1"/>
  <c r="G90" i="1"/>
  <c r="K90" i="1" s="1"/>
  <c r="G143" i="1"/>
  <c r="K143" i="1" s="1"/>
  <c r="G142" i="1"/>
  <c r="K142" i="1" s="1"/>
  <c r="G141" i="1"/>
  <c r="K141" i="1" s="1"/>
  <c r="G140" i="1"/>
  <c r="K140" i="1" s="1"/>
  <c r="G139" i="1"/>
  <c r="K139" i="1" s="1"/>
  <c r="G138" i="1"/>
  <c r="K138" i="1" s="1"/>
  <c r="G137" i="1"/>
  <c r="K137" i="1" s="1"/>
  <c r="G136" i="1"/>
  <c r="K136" i="1" s="1"/>
  <c r="G135" i="1"/>
  <c r="K135" i="1" s="1"/>
  <c r="G134" i="1"/>
  <c r="K134" i="1" s="1"/>
  <c r="G133" i="1"/>
  <c r="K133" i="1" s="1"/>
  <c r="G132" i="1"/>
  <c r="K132" i="1" s="1"/>
  <c r="G129" i="1"/>
  <c r="K129" i="1" s="1"/>
  <c r="G128" i="1"/>
  <c r="K128" i="1" s="1"/>
  <c r="G127" i="1"/>
  <c r="K127" i="1" s="1"/>
  <c r="G126" i="1"/>
  <c r="K126" i="1" s="1"/>
  <c r="G125" i="1"/>
  <c r="K125" i="1" s="1"/>
  <c r="G124" i="1"/>
  <c r="K124" i="1" s="1"/>
  <c r="G123" i="1"/>
  <c r="K123" i="1" s="1"/>
  <c r="G122" i="1"/>
  <c r="K122" i="1" s="1"/>
  <c r="G121" i="1"/>
  <c r="G120" i="1"/>
  <c r="G119" i="1"/>
  <c r="K119" i="1" s="1"/>
  <c r="G118" i="1"/>
  <c r="K118" i="1" s="1"/>
  <c r="G48" i="1"/>
  <c r="K48" i="1" s="1"/>
  <c r="I10" i="1"/>
  <c r="M10" i="1" s="1"/>
  <c r="I9" i="1"/>
  <c r="M9" i="1" s="1"/>
  <c r="I8" i="1"/>
  <c r="M8" i="1" s="1"/>
  <c r="I5" i="1"/>
  <c r="M5" i="1" s="1"/>
  <c r="I7" i="1"/>
  <c r="M7" i="1" s="1"/>
  <c r="I3" i="1"/>
  <c r="M3" i="1" s="1"/>
  <c r="I4" i="1"/>
  <c r="M4" i="1" s="1"/>
  <c r="I12" i="1"/>
  <c r="M12" i="1" s="1"/>
  <c r="I13" i="1"/>
  <c r="M13" i="1" s="1"/>
  <c r="I14" i="1"/>
  <c r="M14" i="1" s="1"/>
  <c r="I15" i="1"/>
  <c r="M15" i="1" s="1"/>
  <c r="I16" i="1"/>
  <c r="M16" i="1" s="1"/>
  <c r="I17" i="1"/>
  <c r="M17" i="1" s="1"/>
  <c r="I18" i="1"/>
  <c r="M18" i="1" s="1"/>
  <c r="I19" i="1"/>
  <c r="M19" i="1" s="1"/>
  <c r="I20" i="1"/>
  <c r="M20" i="1" s="1"/>
  <c r="I21" i="1"/>
  <c r="M21" i="1" s="1"/>
  <c r="I22" i="1"/>
  <c r="M22" i="1" s="1"/>
  <c r="I23" i="1"/>
  <c r="M23" i="1" s="1"/>
  <c r="I24" i="1"/>
  <c r="M24" i="1" s="1"/>
  <c r="I25" i="1"/>
  <c r="M25" i="1" s="1"/>
  <c r="I26" i="1"/>
  <c r="M26" i="1" s="1"/>
  <c r="I27" i="1"/>
  <c r="M27" i="1" s="1"/>
  <c r="I28" i="1"/>
  <c r="M28" i="1" s="1"/>
  <c r="I29" i="1"/>
  <c r="M29" i="1" s="1"/>
  <c r="I30" i="1"/>
  <c r="M30" i="1" s="1"/>
  <c r="I31" i="1"/>
  <c r="M31" i="1" s="1"/>
  <c r="H13" i="1"/>
  <c r="L13" i="1" s="1"/>
  <c r="H14" i="1"/>
  <c r="L14" i="1" s="1"/>
  <c r="H15" i="1"/>
  <c r="L15" i="1" s="1"/>
  <c r="H16" i="1"/>
  <c r="L16" i="1" s="1"/>
  <c r="H17" i="1"/>
  <c r="L17" i="1" s="1"/>
  <c r="H18" i="1"/>
  <c r="H19" i="1"/>
  <c r="L19" i="1" s="1"/>
  <c r="H20" i="1"/>
  <c r="L20" i="1" s="1"/>
  <c r="H21" i="1"/>
  <c r="L21" i="1" s="1"/>
  <c r="H22" i="1"/>
  <c r="L22" i="1" s="1"/>
  <c r="H23" i="1"/>
  <c r="H24" i="1"/>
  <c r="L24" i="1" s="1"/>
  <c r="H25" i="1"/>
  <c r="L25" i="1" s="1"/>
  <c r="H26" i="1"/>
  <c r="L26" i="1" s="1"/>
  <c r="H27" i="1"/>
  <c r="L27" i="1" s="1"/>
  <c r="H28" i="1"/>
  <c r="L28" i="1" s="1"/>
  <c r="H29" i="1"/>
  <c r="L29" i="1" s="1"/>
  <c r="H30" i="1"/>
  <c r="L30" i="1" s="1"/>
  <c r="H31" i="1"/>
  <c r="L31" i="1" s="1"/>
  <c r="H12" i="1"/>
  <c r="L12" i="1" s="1"/>
  <c r="H8" i="1"/>
  <c r="L8" i="1" s="1"/>
  <c r="H9" i="1"/>
  <c r="L9" i="1" s="1"/>
  <c r="H10" i="1"/>
  <c r="L10" i="1" s="1"/>
  <c r="H7" i="1"/>
  <c r="L7" i="1" s="1"/>
  <c r="H4" i="1"/>
  <c r="L4" i="1" s="1"/>
  <c r="H5" i="1"/>
  <c r="L5" i="1" s="1"/>
  <c r="L3" i="1"/>
  <c r="B152" i="1"/>
  <c r="E153" i="1" s="1"/>
  <c r="B150" i="1"/>
  <c r="B151" i="1" s="1"/>
  <c r="B155" i="1" s="1"/>
  <c r="G59" i="1"/>
  <c r="K59" i="1" s="1"/>
  <c r="G58" i="1"/>
  <c r="K58" i="1" s="1"/>
  <c r="G57" i="1"/>
  <c r="K57" i="1" s="1"/>
  <c r="G56" i="1"/>
  <c r="K56" i="1" s="1"/>
  <c r="G55" i="1"/>
  <c r="K55" i="1" s="1"/>
  <c r="G54" i="1"/>
  <c r="K54" i="1" s="1"/>
  <c r="G53" i="1"/>
  <c r="K53" i="1" s="1"/>
  <c r="G52" i="1"/>
  <c r="K52" i="1" s="1"/>
  <c r="G51" i="1"/>
  <c r="K51" i="1" s="1"/>
  <c r="G50" i="1"/>
  <c r="K50" i="1" s="1"/>
  <c r="G49" i="1"/>
  <c r="K49" i="1" s="1"/>
  <c r="G35" i="1"/>
  <c r="K35" i="1" s="1"/>
  <c r="G36" i="1"/>
  <c r="G37" i="1"/>
  <c r="G38" i="1"/>
  <c r="K38" i="1" s="1"/>
  <c r="G39" i="1"/>
  <c r="K39" i="1" s="1"/>
  <c r="G40" i="1"/>
  <c r="K40" i="1" s="1"/>
  <c r="G41" i="1"/>
  <c r="K41" i="1" s="1"/>
  <c r="G42" i="1"/>
  <c r="K42" i="1" s="1"/>
  <c r="G43" i="1"/>
  <c r="K43" i="1" s="1"/>
  <c r="G44" i="1"/>
  <c r="K44" i="1" s="1"/>
  <c r="G45" i="1"/>
  <c r="K45" i="1" s="1"/>
  <c r="K147" i="1"/>
  <c r="K148" i="1"/>
  <c r="K149" i="1"/>
  <c r="K146" i="1"/>
  <c r="G34" i="1"/>
  <c r="K34" i="1" s="1"/>
  <c r="G4" i="1"/>
  <c r="K4" i="1" s="1"/>
  <c r="G5" i="1"/>
  <c r="K5" i="1" s="1"/>
  <c r="G7" i="1"/>
  <c r="K7" i="1" s="1"/>
  <c r="G8" i="1"/>
  <c r="K8" i="1" s="1"/>
  <c r="G9" i="1"/>
  <c r="K9" i="1" s="1"/>
  <c r="G10" i="1"/>
  <c r="K10" i="1" s="1"/>
  <c r="G12" i="1"/>
  <c r="K12" i="1" s="1"/>
  <c r="G13" i="1"/>
  <c r="K13" i="1" s="1"/>
  <c r="G14" i="1"/>
  <c r="K14" i="1" s="1"/>
  <c r="G15" i="1"/>
  <c r="K15" i="1" s="1"/>
  <c r="G16" i="1"/>
  <c r="K16" i="1" s="1"/>
  <c r="G17" i="1"/>
  <c r="K17" i="1" s="1"/>
  <c r="G18" i="1"/>
  <c r="K18" i="1" s="1"/>
  <c r="L18" i="1"/>
  <c r="G19" i="1"/>
  <c r="K19" i="1" s="1"/>
  <c r="G20" i="1"/>
  <c r="K20" i="1" s="1"/>
  <c r="G21" i="1"/>
  <c r="K21" i="1" s="1"/>
  <c r="G22" i="1"/>
  <c r="K22" i="1" s="1"/>
  <c r="G23" i="1"/>
  <c r="K23" i="1" s="1"/>
  <c r="L23" i="1"/>
  <c r="G24" i="1"/>
  <c r="K24" i="1" s="1"/>
  <c r="G25" i="1"/>
  <c r="K25" i="1" s="1"/>
  <c r="G26" i="1"/>
  <c r="K26" i="1" s="1"/>
  <c r="G27" i="1"/>
  <c r="K27" i="1" s="1"/>
  <c r="G28" i="1"/>
  <c r="K28" i="1" s="1"/>
  <c r="G29" i="1"/>
  <c r="K29" i="1" s="1"/>
  <c r="G30" i="1"/>
  <c r="K30" i="1" s="1"/>
  <c r="G31" i="1"/>
  <c r="K31" i="1" s="1"/>
  <c r="K3" i="1"/>
  <c r="E151" i="1" l="1"/>
  <c r="E155" i="1" s="1"/>
  <c r="I155" i="1" s="1"/>
  <c r="M155" i="1" s="1"/>
  <c r="D154" i="1"/>
  <c r="C154" i="1"/>
  <c r="B154" i="1"/>
  <c r="B153" i="1"/>
  <c r="I153" i="1" s="1"/>
  <c r="M153" i="1" s="1"/>
  <c r="K150" i="1"/>
  <c r="K152" i="1"/>
  <c r="H154" i="1" l="1"/>
  <c r="L154" i="1" s="1"/>
  <c r="E154" i="1"/>
  <c r="I151" i="1"/>
  <c r="M151" i="1" s="1"/>
  <c r="I154" i="1"/>
  <c r="G154" i="1"/>
  <c r="K154" i="1" s="1"/>
</calcChain>
</file>

<file path=xl/sharedStrings.xml><?xml version="1.0" encoding="utf-8"?>
<sst xmlns="http://schemas.openxmlformats.org/spreadsheetml/2006/main" count="189" uniqueCount="78">
  <si>
    <t>FPGA Implementation</t>
  </si>
  <si>
    <t>Standard</t>
  </si>
  <si>
    <t>Bit Manipulation Power</t>
  </si>
  <si>
    <t>Bit Manipulation Fast</t>
  </si>
  <si>
    <t>Metric</t>
  </si>
  <si>
    <t>Logic Utilisation (ALM's)</t>
  </si>
  <si>
    <t>Total Registers</t>
  </si>
  <si>
    <t>Total DSP Blocks</t>
  </si>
  <si>
    <t>Worst Case Setup Slack (ns)</t>
  </si>
  <si>
    <t>Theoretical Fmax (MHz)</t>
  </si>
  <si>
    <t>Programmed Clock Frequency (MHz)</t>
  </si>
  <si>
    <t>Total Block Memory (Bits)</t>
  </si>
  <si>
    <t>Total Thermal Power Dissipation (mW)</t>
  </si>
  <si>
    <t>Core Dynamic Thermal Power Dissipation (mW)</t>
  </si>
  <si>
    <t>Core Static Thermal Power Dissipation (mW)</t>
  </si>
  <si>
    <t>I/O Thermal Power Dissipation (mW)</t>
  </si>
  <si>
    <t>Top Level Block Thermal Dynamic Power (mW)</t>
  </si>
  <si>
    <t>Top Level Total Thermal Power (mW)</t>
  </si>
  <si>
    <t>Low Pass Filter Total Thermal Power (mW)</t>
  </si>
  <si>
    <t>Low Pass Filter Block Thermal Dynamic Power (mW)</t>
  </si>
  <si>
    <t>EPI Compiler Total Thermal Power (mW)</t>
  </si>
  <si>
    <t>EPI Compiler Block Thermal Dynamic Power (mW)</t>
  </si>
  <si>
    <t>Shared Frame Storage Total Thermal Power (mW)</t>
  </si>
  <si>
    <t>Shared Frame Storage Block Thermal Dynamic Power (mW)</t>
  </si>
  <si>
    <t>Confidence Computer Total Thermal Power (mW)</t>
  </si>
  <si>
    <t>Confidence Computer Block Thermal Dynamic Power (mW)</t>
  </si>
  <si>
    <t>Disparity Estimator Block Thermal Dynamic Power (mW)</t>
  </si>
  <si>
    <t>Fused Aligned Output Total Thermal Power (mW)</t>
  </si>
  <si>
    <t>Fused Aligned Output Block Thermal Dynamic Power (mW)</t>
  </si>
  <si>
    <t>Altshift Taps Total Thermal Power (mW)</t>
  </si>
  <si>
    <t>Altshift Taps Block Thermal Dynamic Power (mW)</t>
  </si>
  <si>
    <t>Disparity Estimator Total Thermal Power (mW)</t>
  </si>
  <si>
    <t>Confidence MSE</t>
  </si>
  <si>
    <t>Confidence Mean Absolute Error</t>
  </si>
  <si>
    <t>Confidence Median Absolute Error</t>
  </si>
  <si>
    <t>Confidence Median Error (FPGA - Python)</t>
  </si>
  <si>
    <t>Confidence Minimum Error (FPGA - Python)</t>
  </si>
  <si>
    <t>Confidence Maximum Error (FPGA - Python)</t>
  </si>
  <si>
    <t>Confidence Mean Bit Correctness (Out Of 8)</t>
  </si>
  <si>
    <t>Confidence Median Bit Correctness (Out Of 8)</t>
  </si>
  <si>
    <t>Confidence Best Bit Correctness (Out Of 8)</t>
  </si>
  <si>
    <t>Confidence Worst Bit Correctness (Out Of 8)</t>
  </si>
  <si>
    <t>Confidence Exact Match Pixels (Out Of 14400)</t>
  </si>
  <si>
    <t>Confidence Exact Match Fraction</t>
  </si>
  <si>
    <t>Disparity MSE</t>
  </si>
  <si>
    <t>Disparity Mean Absolute Error</t>
  </si>
  <si>
    <t>Disparity Median Absolute Error</t>
  </si>
  <si>
    <t>Disparity Median Error (FPGA - Python)</t>
  </si>
  <si>
    <t>Disparity Minimum Error (FPGA - Python)</t>
  </si>
  <si>
    <t>Disparity Maximum Error (FPGA - Python)</t>
  </si>
  <si>
    <t>Disparity Mean Bit Correctness (Out Of 8)</t>
  </si>
  <si>
    <t>Disparity Median Bit Correctness (Out Of 8)</t>
  </si>
  <si>
    <t>Disparity Best Bit Correctness (Out Of 8)</t>
  </si>
  <si>
    <t>Disparity Worst Bit Correctness (Out Of 8)</t>
  </si>
  <si>
    <t>Disparity Exact Match Pixels (Out Of 14400)</t>
  </si>
  <si>
    <t>Disparity Exact Match Fraction</t>
  </si>
  <si>
    <t>inf</t>
  </si>
  <si>
    <t>Change From Standard</t>
  </si>
  <si>
    <t>% Change From Standard</t>
  </si>
  <si>
    <t>First Pixel Out</t>
  </si>
  <si>
    <t>Last Pixel Out</t>
  </si>
  <si>
    <t>First Pixel In</t>
  </si>
  <si>
    <t>Last Pixel In</t>
  </si>
  <si>
    <t>Input To Output Programmed Latency (Clock Cycles)</t>
  </si>
  <si>
    <t>Computation Programmed Latency (Clock Cycles)</t>
  </si>
  <si>
    <t>Input To Output Programmed Latency (ms)</t>
  </si>
  <si>
    <t>Computation Programmed Latency (us)</t>
  </si>
  <si>
    <t>Programmed Energy Per Frame (uJ)</t>
  </si>
  <si>
    <t>17x128x128</t>
  </si>
  <si>
    <t>Light Field Dimensions (Sub-Apertures, Length, Width)</t>
  </si>
  <si>
    <t>Max Throughput (FPS)</t>
  </si>
  <si>
    <t>Bit Manipulation Throttled</t>
  </si>
  <si>
    <t>Dataset</t>
  </si>
  <si>
    <t>Cotton</t>
  </si>
  <si>
    <t>-</t>
  </si>
  <si>
    <t>Dino</t>
  </si>
  <si>
    <t>Town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</si>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</sst>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D0D0D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9" fontId="0" fillId="0" borderId="0" xfId="1" applyFont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 vertical="center"/>
    </xf>
    <xf numFmtId="9" fontId="0" fillId="0" borderId="0" xfId="1" applyFont="1" applyFill="1" applyAlignment="1">
      <alignment horizontal="center"/>
    </xf>
    <xf numFmtId="9" fontId="0" fillId="0" borderId="0" xfId="0" applyNumberFormat="1" applyAlignment="1">
      <alignment horizont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085A3-2BCA-FA4F-9A9B-A0D6975F9A68}">
  <dimension ref="A1:N156"/>
  <sheetViews>
    <sheetView tabSelected="1" zoomScale="83" zoomScaleNormal="83" workbookViewId="0">
      <pane xSplit="1" ySplit="2" topLeftCell="B52" activePane="bottomRight" state="frozen"/>
      <selection pane="topRight" activeCell="B1" sqref="B1"/>
      <selection pane="bottomLeft" activeCell="A3" sqref="A3"/>
      <selection pane="bottomRight" activeCell="B62" sqref="B62"/>
    </sheetView>
  </sheetViews>
  <sheetFormatPr baseColWidth="10" defaultColWidth="15.83203125" defaultRowHeight="16" x14ac:dyDescent="0.2"/>
  <cols>
    <col min="1" max="1" width="50.83203125" style="3" customWidth="1"/>
    <col min="2" max="5" width="25.83203125" style="1" customWidth="1"/>
    <col min="7" max="9" width="25.83203125" style="1" customWidth="1"/>
    <col min="11" max="13" width="25.83203125" style="1" customWidth="1"/>
  </cols>
  <sheetData>
    <row r="1" spans="1:14" x14ac:dyDescent="0.2">
      <c r="A1" s="14" t="s">
        <v>4</v>
      </c>
      <c r="B1" s="14" t="s">
        <v>0</v>
      </c>
      <c r="C1" s="14"/>
      <c r="D1" s="14"/>
      <c r="E1" s="14"/>
      <c r="F1" s="6"/>
      <c r="G1" s="15" t="s">
        <v>57</v>
      </c>
      <c r="H1" s="15"/>
      <c r="I1" s="15"/>
      <c r="J1" s="6"/>
      <c r="K1" s="15" t="s">
        <v>58</v>
      </c>
      <c r="L1" s="15"/>
      <c r="M1" s="15"/>
      <c r="N1" s="6"/>
    </row>
    <row r="2" spans="1:14" x14ac:dyDescent="0.2">
      <c r="A2" s="14"/>
      <c r="B2" s="2" t="s">
        <v>1</v>
      </c>
      <c r="C2" s="2" t="s">
        <v>2</v>
      </c>
      <c r="D2" s="10" t="s">
        <v>71</v>
      </c>
      <c r="E2" s="2" t="s">
        <v>3</v>
      </c>
      <c r="F2" s="6"/>
      <c r="G2" s="2" t="s">
        <v>2</v>
      </c>
      <c r="H2" s="2" t="s">
        <v>71</v>
      </c>
      <c r="I2" s="2" t="s">
        <v>3</v>
      </c>
      <c r="J2" s="6"/>
      <c r="K2" s="2" t="s">
        <v>2</v>
      </c>
      <c r="L2" s="2" t="s">
        <v>71</v>
      </c>
      <c r="M2" s="2" t="s">
        <v>3</v>
      </c>
      <c r="N2" s="6"/>
    </row>
    <row r="3" spans="1:14" x14ac:dyDescent="0.2">
      <c r="A3" s="3" t="s">
        <v>10</v>
      </c>
      <c r="B3" s="15">
        <v>80</v>
      </c>
      <c r="C3" s="15"/>
      <c r="D3" s="15"/>
      <c r="E3" s="1">
        <v>200</v>
      </c>
      <c r="F3" s="6"/>
      <c r="G3" s="15">
        <v>0</v>
      </c>
      <c r="H3" s="15"/>
      <c r="I3" s="1">
        <f t="shared" ref="I3:I4" si="0">E3-B3</f>
        <v>120</v>
      </c>
      <c r="J3" s="6"/>
      <c r="K3" s="5">
        <f>G3/B3</f>
        <v>0</v>
      </c>
      <c r="L3" s="5">
        <f>H3/B3</f>
        <v>0</v>
      </c>
      <c r="M3" s="5">
        <f t="shared" ref="M3:M4" si="1">I3/B3</f>
        <v>1.5</v>
      </c>
      <c r="N3" s="6"/>
    </row>
    <row r="4" spans="1:14" x14ac:dyDescent="0.2">
      <c r="A4" s="3" t="s">
        <v>8</v>
      </c>
      <c r="B4" s="1">
        <v>0.245</v>
      </c>
      <c r="C4" s="1">
        <v>4.6390000000000002</v>
      </c>
      <c r="D4" s="10">
        <v>7.5369999999999999</v>
      </c>
      <c r="E4" s="2">
        <v>3.6999999999999998E-2</v>
      </c>
      <c r="F4" s="6"/>
      <c r="G4" s="1">
        <f>C4-B4</f>
        <v>4.3940000000000001</v>
      </c>
      <c r="H4" s="1">
        <f t="shared" ref="H4:H5" si="2">C4-B4</f>
        <v>4.3940000000000001</v>
      </c>
      <c r="I4" s="1">
        <f t="shared" si="0"/>
        <v>-0.20799999999999999</v>
      </c>
      <c r="J4" s="6"/>
      <c r="K4" s="5">
        <f>G4/B4</f>
        <v>17.93469387755102</v>
      </c>
      <c r="L4" s="5">
        <f>H4/B4</f>
        <v>17.93469387755102</v>
      </c>
      <c r="M4" s="5">
        <f t="shared" si="1"/>
        <v>-0.84897959183673466</v>
      </c>
      <c r="N4" s="6"/>
    </row>
    <row r="5" spans="1:14" x14ac:dyDescent="0.2">
      <c r="A5" s="3" t="s">
        <v>9</v>
      </c>
      <c r="B5" s="1">
        <v>81.61</v>
      </c>
      <c r="C5" s="1">
        <v>127.23</v>
      </c>
      <c r="D5" s="14">
        <v>201.53</v>
      </c>
      <c r="E5" s="14"/>
      <c r="F5" s="6"/>
      <c r="G5" s="1">
        <f>C5-B5</f>
        <v>45.620000000000005</v>
      </c>
      <c r="H5" s="1">
        <f t="shared" si="2"/>
        <v>45.620000000000005</v>
      </c>
      <c r="I5" s="1">
        <f>D5-B5</f>
        <v>119.92</v>
      </c>
      <c r="J5" s="6"/>
      <c r="K5" s="5">
        <f>G5/B5</f>
        <v>0.55900012253400322</v>
      </c>
      <c r="L5" s="5">
        <f>H5/B5</f>
        <v>0.55900012253400322</v>
      </c>
      <c r="M5" s="5">
        <f>I5/B5</f>
        <v>1.4694277662051221</v>
      </c>
      <c r="N5" s="6"/>
    </row>
    <row r="6" spans="1:14" x14ac:dyDescent="0.2">
      <c r="A6" s="7"/>
      <c r="B6" s="8"/>
      <c r="C6" s="8"/>
      <c r="D6" s="12"/>
      <c r="E6" s="9"/>
      <c r="F6" s="6"/>
      <c r="G6" s="8"/>
      <c r="H6" s="8"/>
      <c r="I6" s="8"/>
      <c r="J6" s="6"/>
      <c r="K6" s="8"/>
      <c r="L6" s="8"/>
      <c r="M6" s="8"/>
      <c r="N6" s="6"/>
    </row>
    <row r="7" spans="1:14" x14ac:dyDescent="0.2">
      <c r="A7" s="4" t="s">
        <v>5</v>
      </c>
      <c r="B7" s="1">
        <v>11847</v>
      </c>
      <c r="C7" s="1">
        <v>11790</v>
      </c>
      <c r="D7" s="14">
        <v>11914</v>
      </c>
      <c r="E7" s="14"/>
      <c r="F7" s="6"/>
      <c r="G7" s="1">
        <f>C7-B7</f>
        <v>-57</v>
      </c>
      <c r="H7" s="1">
        <f>C7-B7</f>
        <v>-57</v>
      </c>
      <c r="I7" s="1">
        <f>D7-B7</f>
        <v>67</v>
      </c>
      <c r="J7" s="6"/>
      <c r="K7" s="5">
        <f>G7/B7</f>
        <v>-4.8113446442137253E-3</v>
      </c>
      <c r="L7" s="5">
        <f>H7/B7</f>
        <v>-4.8113446442137253E-3</v>
      </c>
      <c r="M7" s="5">
        <f t="shared" ref="M7:M9" si="3">I7/B7</f>
        <v>5.6554401958301683E-3</v>
      </c>
      <c r="N7" s="6"/>
    </row>
    <row r="8" spans="1:14" x14ac:dyDescent="0.2">
      <c r="A8" s="3" t="s">
        <v>6</v>
      </c>
      <c r="B8" s="1">
        <v>27085</v>
      </c>
      <c r="C8" s="1">
        <v>27951</v>
      </c>
      <c r="D8" s="14">
        <v>30828</v>
      </c>
      <c r="E8" s="14"/>
      <c r="F8" s="6"/>
      <c r="G8" s="1">
        <f>C8-B8</f>
        <v>866</v>
      </c>
      <c r="H8" s="1">
        <f t="shared" ref="H8:H10" si="4">C8-B8</f>
        <v>866</v>
      </c>
      <c r="I8" s="1">
        <f>D8-B8</f>
        <v>3743</v>
      </c>
      <c r="J8" s="6"/>
      <c r="K8" s="5">
        <f>G8/B8</f>
        <v>3.1973417020491043E-2</v>
      </c>
      <c r="L8" s="5">
        <f>H8/B8</f>
        <v>3.1973417020491043E-2</v>
      </c>
      <c r="M8" s="5">
        <f t="shared" si="3"/>
        <v>0.13819457264168358</v>
      </c>
      <c r="N8" s="6"/>
    </row>
    <row r="9" spans="1:14" x14ac:dyDescent="0.2">
      <c r="A9" s="3" t="s">
        <v>11</v>
      </c>
      <c r="B9" s="1">
        <v>3199148</v>
      </c>
      <c r="C9" s="1">
        <v>3199112</v>
      </c>
      <c r="D9" s="14">
        <v>3199112</v>
      </c>
      <c r="E9" s="14"/>
      <c r="F9" s="6"/>
      <c r="G9" s="1">
        <f>C9-B9</f>
        <v>-36</v>
      </c>
      <c r="H9" s="1">
        <f t="shared" si="4"/>
        <v>-36</v>
      </c>
      <c r="I9" s="1">
        <f>D9-B9</f>
        <v>-36</v>
      </c>
      <c r="J9" s="6"/>
      <c r="K9" s="5">
        <f>G9/B9</f>
        <v>-1.1252996110214344E-5</v>
      </c>
      <c r="L9" s="5">
        <f>H9/B9</f>
        <v>-1.1252996110214344E-5</v>
      </c>
      <c r="M9" s="5">
        <f t="shared" si="3"/>
        <v>-1.1252996110214344E-5</v>
      </c>
      <c r="N9" s="6"/>
    </row>
    <row r="10" spans="1:14" x14ac:dyDescent="0.2">
      <c r="A10" s="3" t="s">
        <v>7</v>
      </c>
      <c r="B10" s="2">
        <v>12</v>
      </c>
      <c r="C10" s="2">
        <v>12</v>
      </c>
      <c r="D10" s="14">
        <v>12</v>
      </c>
      <c r="E10" s="14"/>
      <c r="F10" s="6"/>
      <c r="G10" s="1">
        <f>C10-B10</f>
        <v>0</v>
      </c>
      <c r="H10" s="1">
        <f t="shared" si="4"/>
        <v>0</v>
      </c>
      <c r="I10" s="1">
        <f>D10-B10</f>
        <v>0</v>
      </c>
      <c r="J10" s="6"/>
      <c r="K10" s="5">
        <f>G10/B10</f>
        <v>0</v>
      </c>
      <c r="L10" s="5">
        <f>H10/B10</f>
        <v>0</v>
      </c>
      <c r="M10" s="5">
        <f>I10/B10</f>
        <v>0</v>
      </c>
      <c r="N10" s="6"/>
    </row>
    <row r="11" spans="1:14" x14ac:dyDescent="0.2">
      <c r="A11" s="7"/>
      <c r="B11" s="8"/>
      <c r="C11" s="8"/>
      <c r="D11" s="12"/>
      <c r="E11" s="8"/>
      <c r="F11" s="6"/>
      <c r="G11" s="8"/>
      <c r="H11" s="8"/>
      <c r="I11" s="8"/>
      <c r="J11" s="6"/>
      <c r="K11" s="8"/>
      <c r="L11" s="8"/>
      <c r="M11" s="8"/>
      <c r="N11" s="6"/>
    </row>
    <row r="12" spans="1:14" x14ac:dyDescent="0.2">
      <c r="A12" s="3" t="s">
        <v>12</v>
      </c>
      <c r="B12" s="1">
        <v>796.74</v>
      </c>
      <c r="C12" s="1">
        <v>786.21</v>
      </c>
      <c r="D12" s="11">
        <v>810.03</v>
      </c>
      <c r="E12" s="1">
        <v>1386.71</v>
      </c>
      <c r="F12" s="6"/>
      <c r="G12" s="1">
        <f t="shared" ref="G12:G31" si="5">C12-B12</f>
        <v>-10.529999999999973</v>
      </c>
      <c r="H12" s="1">
        <f>C12-B12</f>
        <v>-10.529999999999973</v>
      </c>
      <c r="I12" s="1">
        <f t="shared" ref="I12:I30" si="6">E12-B12</f>
        <v>589.97</v>
      </c>
      <c r="J12" s="6"/>
      <c r="K12" s="5">
        <f t="shared" ref="K12:K31" si="7">G12/B12</f>
        <v>-1.3216356653362418E-2</v>
      </c>
      <c r="L12" s="5">
        <f t="shared" ref="L12:L31" si="8">H12/B12</f>
        <v>-1.3216356653362418E-2</v>
      </c>
      <c r="M12" s="5">
        <f t="shared" ref="M12:M30" si="9">I12/B12</f>
        <v>0.7404799558199664</v>
      </c>
      <c r="N12" s="6"/>
    </row>
    <row r="13" spans="1:14" x14ac:dyDescent="0.2">
      <c r="A13" s="3" t="s">
        <v>13</v>
      </c>
      <c r="B13" s="1">
        <v>366.32</v>
      </c>
      <c r="C13" s="1">
        <v>355.82</v>
      </c>
      <c r="D13" s="11">
        <v>379.57</v>
      </c>
      <c r="E13" s="1">
        <v>948.92</v>
      </c>
      <c r="F13" s="6"/>
      <c r="G13" s="1">
        <f t="shared" si="5"/>
        <v>-10.5</v>
      </c>
      <c r="H13" s="1">
        <f t="shared" ref="H13:H31" si="10">C13-B13</f>
        <v>-10.5</v>
      </c>
      <c r="I13" s="1">
        <f t="shared" si="6"/>
        <v>582.59999999999991</v>
      </c>
      <c r="J13" s="6"/>
      <c r="K13" s="5">
        <f t="shared" si="7"/>
        <v>-2.8663463638348985E-2</v>
      </c>
      <c r="L13" s="5">
        <f t="shared" si="8"/>
        <v>-2.8663463638348985E-2</v>
      </c>
      <c r="M13" s="5">
        <f t="shared" si="9"/>
        <v>1.5904127538763919</v>
      </c>
      <c r="N13" s="6"/>
    </row>
    <row r="14" spans="1:14" x14ac:dyDescent="0.2">
      <c r="A14" s="3" t="s">
        <v>14</v>
      </c>
      <c r="B14" s="1">
        <v>417.37</v>
      </c>
      <c r="C14" s="1">
        <v>417.3</v>
      </c>
      <c r="D14" s="11">
        <v>417.45</v>
      </c>
      <c r="E14" s="1">
        <v>421.09</v>
      </c>
      <c r="F14" s="6"/>
      <c r="G14" s="1">
        <f t="shared" si="5"/>
        <v>-6.9999999999993179E-2</v>
      </c>
      <c r="H14" s="1">
        <f t="shared" si="10"/>
        <v>-6.9999999999993179E-2</v>
      </c>
      <c r="I14" s="1">
        <f t="shared" si="6"/>
        <v>3.7199999999999704</v>
      </c>
      <c r="J14" s="6"/>
      <c r="K14" s="5">
        <f t="shared" si="7"/>
        <v>-1.6771689388310894E-4</v>
      </c>
      <c r="L14" s="5">
        <f t="shared" si="8"/>
        <v>-1.6771689388310894E-4</v>
      </c>
      <c r="M14" s="5">
        <f t="shared" si="9"/>
        <v>8.9129549320745866E-3</v>
      </c>
      <c r="N14" s="6"/>
    </row>
    <row r="15" spans="1:14" x14ac:dyDescent="0.2">
      <c r="A15" s="3" t="s">
        <v>15</v>
      </c>
      <c r="B15" s="1">
        <v>13.05</v>
      </c>
      <c r="C15" s="1">
        <v>13.08</v>
      </c>
      <c r="D15" s="11">
        <v>13.02</v>
      </c>
      <c r="E15" s="1">
        <v>16.7</v>
      </c>
      <c r="F15" s="6"/>
      <c r="G15" s="1">
        <f t="shared" si="5"/>
        <v>2.9999999999999361E-2</v>
      </c>
      <c r="H15" s="1">
        <f t="shared" si="10"/>
        <v>2.9999999999999361E-2</v>
      </c>
      <c r="I15" s="1">
        <f t="shared" si="6"/>
        <v>3.6499999999999986</v>
      </c>
      <c r="J15" s="6"/>
      <c r="K15" s="5">
        <f t="shared" si="7"/>
        <v>2.2988505747125946E-3</v>
      </c>
      <c r="L15" s="5">
        <f t="shared" si="8"/>
        <v>2.2988505747125946E-3</v>
      </c>
      <c r="M15" s="5">
        <f t="shared" si="9"/>
        <v>0.27969348659003818</v>
      </c>
      <c r="N15" s="6"/>
    </row>
    <row r="16" spans="1:14" x14ac:dyDescent="0.2">
      <c r="A16" s="3" t="s">
        <v>17</v>
      </c>
      <c r="B16" s="1">
        <v>371.37</v>
      </c>
      <c r="C16" s="1">
        <v>360.9</v>
      </c>
      <c r="D16" s="11">
        <v>384.58</v>
      </c>
      <c r="E16" s="1">
        <v>957.61</v>
      </c>
      <c r="F16" s="6"/>
      <c r="G16" s="1">
        <f t="shared" si="5"/>
        <v>-10.470000000000027</v>
      </c>
      <c r="H16" s="1">
        <f t="shared" si="10"/>
        <v>-10.470000000000027</v>
      </c>
      <c r="I16" s="1">
        <f t="shared" si="6"/>
        <v>586.24</v>
      </c>
      <c r="J16" s="6"/>
      <c r="K16" s="5">
        <f t="shared" si="7"/>
        <v>-2.8192907343081098E-2</v>
      </c>
      <c r="L16" s="5">
        <f t="shared" si="8"/>
        <v>-2.8192907343081098E-2</v>
      </c>
      <c r="M16" s="5">
        <f t="shared" si="9"/>
        <v>1.5785873926272989</v>
      </c>
      <c r="N16" s="6"/>
    </row>
    <row r="17" spans="1:14" x14ac:dyDescent="0.2">
      <c r="A17" s="3" t="s">
        <v>16</v>
      </c>
      <c r="B17" s="1">
        <v>249.73</v>
      </c>
      <c r="C17" s="1">
        <v>249.61</v>
      </c>
      <c r="D17" s="11">
        <v>257.73</v>
      </c>
      <c r="E17" s="1">
        <v>644.32000000000005</v>
      </c>
      <c r="F17" s="6"/>
      <c r="G17" s="1">
        <f t="shared" si="5"/>
        <v>-0.11999999999997613</v>
      </c>
      <c r="H17" s="1">
        <f t="shared" si="10"/>
        <v>-0.11999999999997613</v>
      </c>
      <c r="I17" s="1">
        <f t="shared" si="6"/>
        <v>394.59000000000003</v>
      </c>
      <c r="J17" s="6"/>
      <c r="K17" s="5">
        <f t="shared" si="7"/>
        <v>-4.8051896047721993E-4</v>
      </c>
      <c r="L17" s="5">
        <f t="shared" si="8"/>
        <v>-4.8051896047721993E-4</v>
      </c>
      <c r="M17" s="5">
        <f t="shared" si="9"/>
        <v>1.580066471789533</v>
      </c>
      <c r="N17" s="6"/>
    </row>
    <row r="18" spans="1:14" x14ac:dyDescent="0.2">
      <c r="A18" s="3" t="s">
        <v>18</v>
      </c>
      <c r="B18" s="1">
        <v>17.53</v>
      </c>
      <c r="C18" s="1">
        <v>17.850000000000001</v>
      </c>
      <c r="D18" s="11">
        <v>16.899999999999999</v>
      </c>
      <c r="E18" s="1">
        <v>42.25</v>
      </c>
      <c r="F18" s="6"/>
      <c r="G18" s="1">
        <f t="shared" si="5"/>
        <v>0.32000000000000028</v>
      </c>
      <c r="H18" s="1">
        <f t="shared" si="10"/>
        <v>0.32000000000000028</v>
      </c>
      <c r="I18" s="1">
        <f t="shared" si="6"/>
        <v>24.72</v>
      </c>
      <c r="J18" s="6"/>
      <c r="K18" s="5">
        <f t="shared" si="7"/>
        <v>1.8254420992584158E-2</v>
      </c>
      <c r="L18" s="5">
        <f t="shared" si="8"/>
        <v>1.8254420992584158E-2</v>
      </c>
      <c r="M18" s="5">
        <f t="shared" si="9"/>
        <v>1.4101540216771247</v>
      </c>
      <c r="N18" s="6"/>
    </row>
    <row r="19" spans="1:14" x14ac:dyDescent="0.2">
      <c r="A19" s="3" t="s">
        <v>19</v>
      </c>
      <c r="B19" s="1">
        <v>13.15</v>
      </c>
      <c r="C19" s="1">
        <v>13.28</v>
      </c>
      <c r="D19" s="11">
        <v>13.89</v>
      </c>
      <c r="E19" s="1">
        <v>34.729999999999997</v>
      </c>
      <c r="F19" s="6"/>
      <c r="G19" s="1">
        <f t="shared" si="5"/>
        <v>0.12999999999999901</v>
      </c>
      <c r="H19" s="1">
        <f t="shared" si="10"/>
        <v>0.12999999999999901</v>
      </c>
      <c r="I19" s="1">
        <f t="shared" si="6"/>
        <v>21.58</v>
      </c>
      <c r="J19" s="6"/>
      <c r="K19" s="5">
        <f t="shared" si="7"/>
        <v>9.8859315589352858E-3</v>
      </c>
      <c r="L19" s="5">
        <f t="shared" si="8"/>
        <v>9.8859315589352858E-3</v>
      </c>
      <c r="M19" s="5">
        <f t="shared" si="9"/>
        <v>1.6410646387832697</v>
      </c>
      <c r="N19" s="6"/>
    </row>
    <row r="20" spans="1:14" x14ac:dyDescent="0.2">
      <c r="A20" s="3" t="s">
        <v>22</v>
      </c>
      <c r="B20" s="1">
        <v>204.01</v>
      </c>
      <c r="C20" s="1">
        <v>201.32</v>
      </c>
      <c r="D20" s="11">
        <v>72.3</v>
      </c>
      <c r="E20" s="1">
        <v>180.76</v>
      </c>
      <c r="F20" s="6"/>
      <c r="G20" s="1">
        <f t="shared" si="5"/>
        <v>-2.6899999999999977</v>
      </c>
      <c r="H20" s="1">
        <f t="shared" si="10"/>
        <v>-2.6899999999999977</v>
      </c>
      <c r="I20" s="1">
        <f t="shared" si="6"/>
        <v>-23.25</v>
      </c>
      <c r="J20" s="6"/>
      <c r="K20" s="5">
        <f t="shared" si="7"/>
        <v>-1.3185628155482564E-2</v>
      </c>
      <c r="L20" s="5">
        <f t="shared" si="8"/>
        <v>-1.3185628155482564E-2</v>
      </c>
      <c r="M20" s="5">
        <f t="shared" si="9"/>
        <v>-0.11396500171560218</v>
      </c>
      <c r="N20" s="6"/>
    </row>
    <row r="21" spans="1:14" x14ac:dyDescent="0.2">
      <c r="A21" s="3" t="s">
        <v>23</v>
      </c>
      <c r="B21" s="1">
        <v>186.87</v>
      </c>
      <c r="C21" s="1">
        <v>186.43</v>
      </c>
      <c r="D21" s="11">
        <v>58.9</v>
      </c>
      <c r="E21" s="1">
        <v>147.25</v>
      </c>
      <c r="F21" s="6"/>
      <c r="G21" s="1">
        <f t="shared" si="5"/>
        <v>-0.43999999999999773</v>
      </c>
      <c r="H21" s="1">
        <f t="shared" si="10"/>
        <v>-0.43999999999999773</v>
      </c>
      <c r="I21" s="1">
        <f t="shared" si="6"/>
        <v>-39.620000000000005</v>
      </c>
      <c r="J21" s="6"/>
      <c r="K21" s="5">
        <f t="shared" si="7"/>
        <v>-2.3545780489109954E-3</v>
      </c>
      <c r="L21" s="5">
        <f t="shared" si="8"/>
        <v>-2.3545780489109954E-3</v>
      </c>
      <c r="M21" s="5">
        <f t="shared" si="9"/>
        <v>-0.21201905067694121</v>
      </c>
      <c r="N21" s="6"/>
    </row>
    <row r="22" spans="1:14" x14ac:dyDescent="0.2">
      <c r="A22" s="3" t="s">
        <v>20</v>
      </c>
      <c r="B22" s="1">
        <v>3.2</v>
      </c>
      <c r="C22" s="1">
        <v>3.08</v>
      </c>
      <c r="D22" s="11">
        <v>133.56</v>
      </c>
      <c r="E22" s="1">
        <v>333.91</v>
      </c>
      <c r="F22" s="6"/>
      <c r="G22" s="1">
        <f t="shared" si="5"/>
        <v>-0.12000000000000011</v>
      </c>
      <c r="H22" s="1">
        <f t="shared" si="10"/>
        <v>-0.12000000000000011</v>
      </c>
      <c r="I22" s="1">
        <f t="shared" si="6"/>
        <v>330.71000000000004</v>
      </c>
      <c r="J22" s="6"/>
      <c r="K22" s="5">
        <f t="shared" si="7"/>
        <v>-3.7500000000000033E-2</v>
      </c>
      <c r="L22" s="5">
        <f t="shared" si="8"/>
        <v>-3.7500000000000033E-2</v>
      </c>
      <c r="M22" s="5">
        <f t="shared" si="9"/>
        <v>103.34687500000001</v>
      </c>
      <c r="N22" s="6"/>
    </row>
    <row r="23" spans="1:14" x14ac:dyDescent="0.2">
      <c r="A23" s="3" t="s">
        <v>21</v>
      </c>
      <c r="B23" s="1">
        <v>1.27</v>
      </c>
      <c r="C23" s="1">
        <v>1.23</v>
      </c>
      <c r="D23" s="11">
        <v>130.22999999999999</v>
      </c>
      <c r="E23" s="1">
        <v>325.57</v>
      </c>
      <c r="F23" s="6"/>
      <c r="G23" s="1">
        <f t="shared" si="5"/>
        <v>-4.0000000000000036E-2</v>
      </c>
      <c r="H23" s="1">
        <f t="shared" si="10"/>
        <v>-4.0000000000000036E-2</v>
      </c>
      <c r="I23" s="1">
        <f t="shared" si="6"/>
        <v>324.3</v>
      </c>
      <c r="J23" s="6"/>
      <c r="K23" s="5">
        <f t="shared" si="7"/>
        <v>-3.1496062992126012E-2</v>
      </c>
      <c r="L23" s="5">
        <f t="shared" si="8"/>
        <v>-3.1496062992126012E-2</v>
      </c>
      <c r="M23" s="5">
        <f t="shared" si="9"/>
        <v>255.35433070866142</v>
      </c>
      <c r="N23" s="6"/>
    </row>
    <row r="24" spans="1:14" x14ac:dyDescent="0.2">
      <c r="A24" s="3" t="s">
        <v>24</v>
      </c>
      <c r="B24" s="1">
        <v>0.94</v>
      </c>
      <c r="C24" s="1">
        <v>0.95</v>
      </c>
      <c r="D24" s="11">
        <v>1.1599999999999999</v>
      </c>
      <c r="E24" s="1">
        <v>2.9</v>
      </c>
      <c r="F24" s="6"/>
      <c r="G24" s="1">
        <f t="shared" si="5"/>
        <v>1.0000000000000009E-2</v>
      </c>
      <c r="H24" s="1">
        <f t="shared" si="10"/>
        <v>1.0000000000000009E-2</v>
      </c>
      <c r="I24" s="1">
        <f t="shared" si="6"/>
        <v>1.96</v>
      </c>
      <c r="J24" s="6"/>
      <c r="K24" s="5">
        <f t="shared" si="7"/>
        <v>1.0638297872340436E-2</v>
      </c>
      <c r="L24" s="5">
        <f t="shared" si="8"/>
        <v>1.0638297872340436E-2</v>
      </c>
      <c r="M24" s="5">
        <f t="shared" si="9"/>
        <v>2.0851063829787235</v>
      </c>
      <c r="N24" s="6"/>
    </row>
    <row r="25" spans="1:14" x14ac:dyDescent="0.2">
      <c r="A25" s="3" t="s">
        <v>25</v>
      </c>
      <c r="B25" s="1">
        <v>0.39</v>
      </c>
      <c r="C25" s="1">
        <v>0.4</v>
      </c>
      <c r="D25" s="11">
        <v>0.49</v>
      </c>
      <c r="E25" s="1">
        <v>1.22</v>
      </c>
      <c r="F25" s="6"/>
      <c r="G25" s="1">
        <f t="shared" si="5"/>
        <v>1.0000000000000009E-2</v>
      </c>
      <c r="H25" s="1">
        <f t="shared" si="10"/>
        <v>1.0000000000000009E-2</v>
      </c>
      <c r="I25" s="1">
        <f t="shared" si="6"/>
        <v>0.83</v>
      </c>
      <c r="J25" s="6"/>
      <c r="K25" s="5">
        <f t="shared" si="7"/>
        <v>2.5641025641025664E-2</v>
      </c>
      <c r="L25" s="5">
        <f t="shared" si="8"/>
        <v>2.5641025641025664E-2</v>
      </c>
      <c r="M25" s="5">
        <f t="shared" si="9"/>
        <v>2.1282051282051282</v>
      </c>
      <c r="N25" s="6"/>
    </row>
    <row r="26" spans="1:14" x14ac:dyDescent="0.2">
      <c r="A26" s="3" t="s">
        <v>31</v>
      </c>
      <c r="B26" s="1">
        <v>64.31</v>
      </c>
      <c r="C26" s="1">
        <v>63.87</v>
      </c>
      <c r="D26" s="11">
        <v>76.38</v>
      </c>
      <c r="E26" s="1">
        <v>190.96</v>
      </c>
      <c r="F26" s="6"/>
      <c r="G26" s="1">
        <f t="shared" si="5"/>
        <v>-0.44000000000000483</v>
      </c>
      <c r="H26" s="1">
        <f t="shared" si="10"/>
        <v>-0.44000000000000483</v>
      </c>
      <c r="I26" s="1">
        <f t="shared" si="6"/>
        <v>126.65</v>
      </c>
      <c r="J26" s="6"/>
      <c r="K26" s="5">
        <f t="shared" si="7"/>
        <v>-6.8418597418753663E-3</v>
      </c>
      <c r="L26" s="5">
        <f t="shared" si="8"/>
        <v>-6.8418597418753663E-3</v>
      </c>
      <c r="M26" s="5">
        <f t="shared" si="9"/>
        <v>1.9693671279738765</v>
      </c>
      <c r="N26" s="6"/>
    </row>
    <row r="27" spans="1:14" x14ac:dyDescent="0.2">
      <c r="A27" s="3" t="s">
        <v>26</v>
      </c>
      <c r="B27" s="1">
        <v>29.51</v>
      </c>
      <c r="C27" s="1">
        <v>30.54</v>
      </c>
      <c r="D27" s="11">
        <v>34.89</v>
      </c>
      <c r="E27" s="1">
        <v>87.22</v>
      </c>
      <c r="F27" s="6"/>
      <c r="G27" s="1">
        <f t="shared" si="5"/>
        <v>1.0299999999999976</v>
      </c>
      <c r="H27" s="1">
        <f t="shared" si="10"/>
        <v>1.0299999999999976</v>
      </c>
      <c r="I27" s="1">
        <f t="shared" si="6"/>
        <v>57.709999999999994</v>
      </c>
      <c r="J27" s="6"/>
      <c r="K27" s="5">
        <f t="shared" si="7"/>
        <v>3.4903422568620723E-2</v>
      </c>
      <c r="L27" s="5">
        <f t="shared" si="8"/>
        <v>3.4903422568620723E-2</v>
      </c>
      <c r="M27" s="5">
        <f t="shared" si="9"/>
        <v>1.9556082683835985</v>
      </c>
      <c r="N27" s="6"/>
    </row>
    <row r="28" spans="1:14" x14ac:dyDescent="0.2">
      <c r="A28" s="3" t="s">
        <v>27</v>
      </c>
      <c r="B28" s="1">
        <v>5.86</v>
      </c>
      <c r="C28" s="1">
        <v>5.0999999999999996</v>
      </c>
      <c r="D28" s="11">
        <v>6.94</v>
      </c>
      <c r="E28" s="1">
        <v>17.350000000000001</v>
      </c>
      <c r="F28" s="6"/>
      <c r="G28" s="1">
        <f t="shared" si="5"/>
        <v>-0.76000000000000068</v>
      </c>
      <c r="H28" s="1">
        <f t="shared" si="10"/>
        <v>-0.76000000000000068</v>
      </c>
      <c r="I28" s="1">
        <f t="shared" si="6"/>
        <v>11.490000000000002</v>
      </c>
      <c r="J28" s="6"/>
      <c r="K28" s="5">
        <f t="shared" si="7"/>
        <v>-0.12969283276450522</v>
      </c>
      <c r="L28" s="5">
        <f t="shared" si="8"/>
        <v>-0.12969283276450522</v>
      </c>
      <c r="M28" s="5">
        <f t="shared" si="9"/>
        <v>1.960750853242321</v>
      </c>
      <c r="N28" s="6"/>
    </row>
    <row r="29" spans="1:14" x14ac:dyDescent="0.2">
      <c r="A29" s="3" t="s">
        <v>28</v>
      </c>
      <c r="B29" s="1">
        <v>4.37</v>
      </c>
      <c r="C29" s="1">
        <v>3.82</v>
      </c>
      <c r="D29" s="11">
        <v>5.12</v>
      </c>
      <c r="E29" s="1">
        <v>12.79</v>
      </c>
      <c r="F29" s="6"/>
      <c r="G29" s="1">
        <f t="shared" si="5"/>
        <v>-0.55000000000000027</v>
      </c>
      <c r="H29" s="1">
        <f t="shared" si="10"/>
        <v>-0.55000000000000027</v>
      </c>
      <c r="I29" s="1">
        <f t="shared" si="6"/>
        <v>8.4199999999999982</v>
      </c>
      <c r="J29" s="6"/>
      <c r="K29" s="5">
        <f t="shared" si="7"/>
        <v>-0.12585812356979412</v>
      </c>
      <c r="L29" s="5">
        <f t="shared" si="8"/>
        <v>-0.12585812356979412</v>
      </c>
      <c r="M29" s="5">
        <f t="shared" si="9"/>
        <v>1.9267734553775739</v>
      </c>
      <c r="N29" s="6"/>
    </row>
    <row r="30" spans="1:14" x14ac:dyDescent="0.2">
      <c r="A30" s="3" t="s">
        <v>29</v>
      </c>
      <c r="B30" s="1">
        <v>26.17</v>
      </c>
      <c r="C30" s="1">
        <v>24.08</v>
      </c>
      <c r="D30" s="11">
        <v>26.53</v>
      </c>
      <c r="E30" s="1">
        <v>66.86</v>
      </c>
      <c r="F30" s="6"/>
      <c r="G30" s="1">
        <f t="shared" si="5"/>
        <v>-2.0900000000000034</v>
      </c>
      <c r="H30" s="1">
        <f t="shared" si="10"/>
        <v>-2.0900000000000034</v>
      </c>
      <c r="I30" s="1">
        <f t="shared" si="6"/>
        <v>40.69</v>
      </c>
      <c r="J30" s="6"/>
      <c r="K30" s="5">
        <f t="shared" si="7"/>
        <v>-7.9862437905999367E-2</v>
      </c>
      <c r="L30" s="5">
        <f t="shared" si="8"/>
        <v>-7.9862437905999367E-2</v>
      </c>
      <c r="M30" s="5">
        <f t="shared" si="9"/>
        <v>1.5548337791364155</v>
      </c>
      <c r="N30" s="6"/>
    </row>
    <row r="31" spans="1:14" x14ac:dyDescent="0.2">
      <c r="A31" s="3" t="s">
        <v>30</v>
      </c>
      <c r="B31" s="1">
        <v>11.57</v>
      </c>
      <c r="C31" s="1">
        <v>11.32</v>
      </c>
      <c r="D31" s="11">
        <v>11.41</v>
      </c>
      <c r="E31" s="1">
        <v>28.72</v>
      </c>
      <c r="F31" s="6"/>
      <c r="G31" s="1">
        <f t="shared" si="5"/>
        <v>-0.25</v>
      </c>
      <c r="H31" s="1">
        <f t="shared" si="10"/>
        <v>-0.25</v>
      </c>
      <c r="I31" s="1">
        <f>E31-B31</f>
        <v>17.149999999999999</v>
      </c>
      <c r="J31" s="6"/>
      <c r="K31" s="5">
        <f t="shared" si="7"/>
        <v>-2.1607605877268798E-2</v>
      </c>
      <c r="L31" s="5">
        <f t="shared" si="8"/>
        <v>-2.1607605877268798E-2</v>
      </c>
      <c r="M31" s="5">
        <f>I31/B31</f>
        <v>1.4822817631806395</v>
      </c>
      <c r="N31" s="6"/>
    </row>
    <row r="32" spans="1:14" x14ac:dyDescent="0.2">
      <c r="A32" s="7"/>
      <c r="B32" s="8"/>
      <c r="C32" s="8"/>
      <c r="D32" s="12"/>
      <c r="E32" s="8"/>
      <c r="F32" s="6"/>
      <c r="G32" s="8"/>
      <c r="H32" s="8"/>
      <c r="I32" s="8"/>
      <c r="J32" s="6"/>
      <c r="K32" s="8"/>
      <c r="L32" s="8"/>
      <c r="M32" s="8"/>
      <c r="N32" s="6"/>
    </row>
    <row r="33" spans="1:14" x14ac:dyDescent="0.2">
      <c r="A33" s="3" t="s">
        <v>72</v>
      </c>
      <c r="B33" s="15" t="s">
        <v>73</v>
      </c>
      <c r="C33" s="15"/>
      <c r="D33" s="15"/>
      <c r="E33" s="15"/>
      <c r="F33" s="6"/>
      <c r="G33" s="15" t="s">
        <v>74</v>
      </c>
      <c r="H33" s="15"/>
      <c r="I33" s="15"/>
      <c r="J33" s="6"/>
      <c r="K33" s="15" t="s">
        <v>74</v>
      </c>
      <c r="L33" s="15"/>
      <c r="M33" s="15"/>
      <c r="N33" s="6"/>
    </row>
    <row r="34" spans="1:14" x14ac:dyDescent="0.2">
      <c r="A34" s="3" t="s">
        <v>32</v>
      </c>
      <c r="B34" s="1">
        <v>0.47430600000000001</v>
      </c>
      <c r="C34" s="15">
        <v>2.0395829999999999</v>
      </c>
      <c r="D34" s="15"/>
      <c r="E34" s="15"/>
      <c r="F34" s="6"/>
      <c r="G34" s="15">
        <f t="shared" ref="G34:G45" si="11">C34-B34</f>
        <v>1.565277</v>
      </c>
      <c r="H34" s="15"/>
      <c r="I34" s="15"/>
      <c r="J34" s="6"/>
      <c r="K34" s="13">
        <f>G34/B34</f>
        <v>3.3001416806871515</v>
      </c>
      <c r="L34" s="13"/>
      <c r="M34" s="13"/>
      <c r="N34" s="6"/>
    </row>
    <row r="35" spans="1:14" x14ac:dyDescent="0.2">
      <c r="A35" s="3" t="s">
        <v>33</v>
      </c>
      <c r="B35" s="1">
        <v>0.346667</v>
      </c>
      <c r="C35" s="15">
        <v>0.93874999999999997</v>
      </c>
      <c r="D35" s="15"/>
      <c r="E35" s="15"/>
      <c r="F35" s="6"/>
      <c r="G35" s="15">
        <f t="shared" si="11"/>
        <v>0.59208299999999991</v>
      </c>
      <c r="H35" s="15"/>
      <c r="I35" s="15"/>
      <c r="J35" s="6"/>
      <c r="K35" s="13">
        <f t="shared" ref="K35:K45" si="12">G35/B35</f>
        <v>1.7079300885287607</v>
      </c>
      <c r="L35" s="13"/>
      <c r="M35" s="13"/>
      <c r="N35" s="6"/>
    </row>
    <row r="36" spans="1:14" x14ac:dyDescent="0.2">
      <c r="A36" s="3" t="s">
        <v>34</v>
      </c>
      <c r="B36" s="1">
        <v>0</v>
      </c>
      <c r="C36" s="15">
        <v>1</v>
      </c>
      <c r="D36" s="15"/>
      <c r="E36" s="15"/>
      <c r="F36" s="6"/>
      <c r="G36" s="15">
        <f t="shared" si="11"/>
        <v>1</v>
      </c>
      <c r="H36" s="15"/>
      <c r="I36" s="15"/>
      <c r="J36" s="6"/>
      <c r="K36" s="13" t="s">
        <v>56</v>
      </c>
      <c r="L36" s="13"/>
      <c r="M36" s="13"/>
      <c r="N36" s="6"/>
    </row>
    <row r="37" spans="1:14" x14ac:dyDescent="0.2">
      <c r="A37" s="3" t="s">
        <v>35</v>
      </c>
      <c r="B37" s="1">
        <v>0</v>
      </c>
      <c r="C37" s="15">
        <v>1</v>
      </c>
      <c r="D37" s="15"/>
      <c r="E37" s="15"/>
      <c r="F37" s="6"/>
      <c r="G37" s="15">
        <f t="shared" si="11"/>
        <v>1</v>
      </c>
      <c r="H37" s="15"/>
      <c r="I37" s="15"/>
      <c r="J37" s="6"/>
      <c r="K37" s="13" t="s">
        <v>56</v>
      </c>
      <c r="L37" s="13"/>
      <c r="M37" s="13"/>
      <c r="N37" s="6"/>
    </row>
    <row r="38" spans="1:14" x14ac:dyDescent="0.2">
      <c r="A38" s="3" t="s">
        <v>36</v>
      </c>
      <c r="B38" s="1">
        <v>-3</v>
      </c>
      <c r="C38" s="15">
        <v>-1</v>
      </c>
      <c r="D38" s="15"/>
      <c r="E38" s="15"/>
      <c r="F38" s="6"/>
      <c r="G38" s="15">
        <f t="shared" si="11"/>
        <v>2</v>
      </c>
      <c r="H38" s="15"/>
      <c r="I38" s="15"/>
      <c r="J38" s="6"/>
      <c r="K38" s="13">
        <f t="shared" si="12"/>
        <v>-0.66666666666666663</v>
      </c>
      <c r="L38" s="13"/>
      <c r="M38" s="13"/>
      <c r="N38" s="6"/>
    </row>
    <row r="39" spans="1:14" x14ac:dyDescent="0.2">
      <c r="A39" s="3" t="s">
        <v>37</v>
      </c>
      <c r="B39" s="1">
        <v>1</v>
      </c>
      <c r="C39" s="15">
        <v>7</v>
      </c>
      <c r="D39" s="15"/>
      <c r="E39" s="15"/>
      <c r="F39" s="6"/>
      <c r="G39" s="15">
        <f t="shared" si="11"/>
        <v>6</v>
      </c>
      <c r="H39" s="15"/>
      <c r="I39" s="15"/>
      <c r="J39" s="6"/>
      <c r="K39" s="13">
        <f t="shared" si="12"/>
        <v>6</v>
      </c>
      <c r="L39" s="13"/>
      <c r="M39" s="13"/>
      <c r="N39" s="6"/>
    </row>
    <row r="40" spans="1:14" x14ac:dyDescent="0.2">
      <c r="A40" s="3" t="s">
        <v>38</v>
      </c>
      <c r="B40" s="1">
        <v>7.6160420000000002</v>
      </c>
      <c r="C40" s="15">
        <v>7.1617360000000003</v>
      </c>
      <c r="D40" s="15"/>
      <c r="E40" s="15"/>
      <c r="F40" s="6"/>
      <c r="G40" s="15">
        <f t="shared" si="11"/>
        <v>-0.45430599999999988</v>
      </c>
      <c r="H40" s="15"/>
      <c r="I40" s="15"/>
      <c r="J40" s="6"/>
      <c r="K40" s="13">
        <f t="shared" si="12"/>
        <v>-5.9651194150452412E-2</v>
      </c>
      <c r="L40" s="13"/>
      <c r="M40" s="13"/>
      <c r="N40" s="6"/>
    </row>
    <row r="41" spans="1:14" x14ac:dyDescent="0.2">
      <c r="A41" s="3" t="s">
        <v>39</v>
      </c>
      <c r="B41" s="1">
        <v>8</v>
      </c>
      <c r="C41" s="15">
        <v>7</v>
      </c>
      <c r="D41" s="15"/>
      <c r="E41" s="15"/>
      <c r="F41" s="6"/>
      <c r="G41" s="15">
        <f t="shared" si="11"/>
        <v>-1</v>
      </c>
      <c r="H41" s="15"/>
      <c r="I41" s="15"/>
      <c r="J41" s="6"/>
      <c r="K41" s="13">
        <f t="shared" si="12"/>
        <v>-0.125</v>
      </c>
      <c r="L41" s="13"/>
      <c r="M41" s="13"/>
      <c r="N41" s="6"/>
    </row>
    <row r="42" spans="1:14" x14ac:dyDescent="0.2">
      <c r="A42" s="3" t="s">
        <v>40</v>
      </c>
      <c r="B42" s="1">
        <v>8</v>
      </c>
      <c r="C42" s="15">
        <v>8</v>
      </c>
      <c r="D42" s="15"/>
      <c r="E42" s="15"/>
      <c r="F42" s="6"/>
      <c r="G42" s="15">
        <f t="shared" si="11"/>
        <v>0</v>
      </c>
      <c r="H42" s="15"/>
      <c r="I42" s="15"/>
      <c r="J42" s="6"/>
      <c r="K42" s="13">
        <f t="shared" si="12"/>
        <v>0</v>
      </c>
      <c r="L42" s="13"/>
      <c r="M42" s="13"/>
      <c r="N42" s="6"/>
    </row>
    <row r="43" spans="1:14" x14ac:dyDescent="0.2">
      <c r="A43" s="3" t="s">
        <v>41</v>
      </c>
      <c r="B43" s="1">
        <v>5</v>
      </c>
      <c r="C43" s="15">
        <v>4</v>
      </c>
      <c r="D43" s="15"/>
      <c r="E43" s="15"/>
      <c r="F43" s="6"/>
      <c r="G43" s="15">
        <f t="shared" si="11"/>
        <v>-1</v>
      </c>
      <c r="H43" s="15"/>
      <c r="I43" s="15"/>
      <c r="J43" s="6"/>
      <c r="K43" s="13">
        <f t="shared" si="12"/>
        <v>-0.2</v>
      </c>
      <c r="L43" s="13"/>
      <c r="M43" s="13"/>
      <c r="N43" s="6"/>
    </row>
    <row r="44" spans="1:14" x14ac:dyDescent="0.2">
      <c r="A44" s="3" t="s">
        <v>42</v>
      </c>
      <c r="B44" s="1">
        <v>10234</v>
      </c>
      <c r="C44" s="15">
        <v>6033</v>
      </c>
      <c r="D44" s="15"/>
      <c r="E44" s="15"/>
      <c r="F44" s="6"/>
      <c r="G44" s="15">
        <f t="shared" si="11"/>
        <v>-4201</v>
      </c>
      <c r="H44" s="15"/>
      <c r="I44" s="15"/>
      <c r="J44" s="6"/>
      <c r="K44" s="13">
        <f t="shared" si="12"/>
        <v>-0.41049443033027166</v>
      </c>
      <c r="L44" s="13"/>
      <c r="M44" s="13"/>
      <c r="N44" s="6"/>
    </row>
    <row r="45" spans="1:14" x14ac:dyDescent="0.2">
      <c r="A45" s="3" t="s">
        <v>43</v>
      </c>
      <c r="B45" s="5">
        <v>0.71069444000000004</v>
      </c>
      <c r="C45" s="16">
        <v>0.41895832999999999</v>
      </c>
      <c r="D45" s="16"/>
      <c r="E45" s="16"/>
      <c r="F45" s="6"/>
      <c r="G45" s="15">
        <f t="shared" si="11"/>
        <v>-0.29173611000000005</v>
      </c>
      <c r="H45" s="15"/>
      <c r="I45" s="15"/>
      <c r="J45" s="6"/>
      <c r="K45" s="13">
        <f t="shared" si="12"/>
        <v>-0.41049443133394997</v>
      </c>
      <c r="L45" s="13"/>
      <c r="M45" s="13"/>
      <c r="N45" s="6"/>
    </row>
    <row r="46" spans="1:14" x14ac:dyDescent="0.2">
      <c r="A46" s="7"/>
      <c r="B46" s="8"/>
      <c r="C46" s="8"/>
      <c r="D46" s="12"/>
      <c r="E46" s="8"/>
      <c r="F46" s="6"/>
      <c r="G46" s="8"/>
      <c r="H46" s="8"/>
      <c r="I46" s="8"/>
      <c r="J46" s="6"/>
      <c r="K46" s="8"/>
      <c r="L46" s="8"/>
      <c r="M46" s="8"/>
      <c r="N46" s="6"/>
    </row>
    <row r="47" spans="1:14" x14ac:dyDescent="0.2">
      <c r="A47" s="3" t="s">
        <v>72</v>
      </c>
      <c r="B47" s="15" t="s">
        <v>73</v>
      </c>
      <c r="C47" s="15"/>
      <c r="D47" s="15"/>
      <c r="E47" s="15"/>
      <c r="F47" s="6"/>
      <c r="G47" s="15" t="s">
        <v>74</v>
      </c>
      <c r="H47" s="15"/>
      <c r="I47" s="15"/>
      <c r="J47" s="6"/>
      <c r="K47" s="15" t="s">
        <v>74</v>
      </c>
      <c r="L47" s="15"/>
      <c r="M47" s="15"/>
      <c r="N47" s="6"/>
    </row>
    <row r="48" spans="1:14" x14ac:dyDescent="0.2">
      <c r="A48" s="3" t="s">
        <v>44</v>
      </c>
      <c r="B48" s="1">
        <v>3.8577780000000002</v>
      </c>
      <c r="C48" s="15">
        <v>3.605556</v>
      </c>
      <c r="D48" s="15"/>
      <c r="E48" s="15"/>
      <c r="F48" s="6"/>
      <c r="G48" s="15">
        <f t="shared" ref="G48:G59" si="13">C48-B48</f>
        <v>-0.25222200000000017</v>
      </c>
      <c r="H48" s="15"/>
      <c r="I48" s="15"/>
      <c r="J48" s="6"/>
      <c r="K48" s="13">
        <f>G48/B48</f>
        <v>-6.5380122961974527E-2</v>
      </c>
      <c r="L48" s="13"/>
      <c r="M48" s="13"/>
      <c r="N48" s="6"/>
    </row>
    <row r="49" spans="1:14" x14ac:dyDescent="0.2">
      <c r="A49" s="3" t="s">
        <v>45</v>
      </c>
      <c r="B49" s="1">
        <v>1.9048609999999999</v>
      </c>
      <c r="C49" s="15">
        <v>1.838889</v>
      </c>
      <c r="D49" s="15"/>
      <c r="E49" s="15"/>
      <c r="F49" s="6"/>
      <c r="G49" s="15">
        <f t="shared" si="13"/>
        <v>-6.597199999999992E-2</v>
      </c>
      <c r="H49" s="15"/>
      <c r="I49" s="15"/>
      <c r="J49" s="6"/>
      <c r="K49" s="13">
        <f t="shared" ref="K49:K59" si="14">G49/B49</f>
        <v>-3.4633498192256508E-2</v>
      </c>
      <c r="L49" s="13"/>
      <c r="M49" s="13"/>
      <c r="N49" s="6"/>
    </row>
    <row r="50" spans="1:14" x14ac:dyDescent="0.2">
      <c r="A50" s="3" t="s">
        <v>46</v>
      </c>
      <c r="B50" s="1">
        <v>2</v>
      </c>
      <c r="C50" s="15">
        <v>2</v>
      </c>
      <c r="D50" s="15"/>
      <c r="E50" s="15"/>
      <c r="F50" s="6"/>
      <c r="G50" s="15">
        <f t="shared" si="13"/>
        <v>0</v>
      </c>
      <c r="H50" s="15"/>
      <c r="I50" s="15"/>
      <c r="J50" s="6"/>
      <c r="K50" s="13">
        <f t="shared" si="14"/>
        <v>0</v>
      </c>
      <c r="L50" s="13"/>
      <c r="M50" s="13"/>
      <c r="N50" s="6"/>
    </row>
    <row r="51" spans="1:14" x14ac:dyDescent="0.2">
      <c r="A51" s="3" t="s">
        <v>47</v>
      </c>
      <c r="B51" s="1">
        <v>-2</v>
      </c>
      <c r="C51" s="15">
        <v>-2</v>
      </c>
      <c r="D51" s="15"/>
      <c r="E51" s="15"/>
      <c r="F51" s="6"/>
      <c r="G51" s="15">
        <f t="shared" si="13"/>
        <v>0</v>
      </c>
      <c r="H51" s="15"/>
      <c r="I51" s="15"/>
      <c r="J51" s="6"/>
      <c r="K51" s="13">
        <f t="shared" si="14"/>
        <v>0</v>
      </c>
      <c r="L51" s="13"/>
      <c r="M51" s="13"/>
      <c r="N51" s="6"/>
    </row>
    <row r="52" spans="1:14" x14ac:dyDescent="0.2">
      <c r="A52" s="3" t="s">
        <v>48</v>
      </c>
      <c r="B52" s="1">
        <v>-3</v>
      </c>
      <c r="C52" s="15">
        <v>-3</v>
      </c>
      <c r="D52" s="15"/>
      <c r="E52" s="15"/>
      <c r="F52" s="6"/>
      <c r="G52" s="15">
        <f t="shared" si="13"/>
        <v>0</v>
      </c>
      <c r="H52" s="15"/>
      <c r="I52" s="15"/>
      <c r="J52" s="6"/>
      <c r="K52" s="13">
        <f t="shared" si="14"/>
        <v>0</v>
      </c>
      <c r="L52" s="13"/>
      <c r="M52" s="13"/>
      <c r="N52" s="6"/>
    </row>
    <row r="53" spans="1:14" x14ac:dyDescent="0.2">
      <c r="A53" s="3" t="s">
        <v>49</v>
      </c>
      <c r="B53" s="1">
        <v>7</v>
      </c>
      <c r="C53" s="15">
        <v>3</v>
      </c>
      <c r="D53" s="15"/>
      <c r="E53" s="15"/>
      <c r="F53" s="6"/>
      <c r="G53" s="15">
        <f t="shared" si="13"/>
        <v>-4</v>
      </c>
      <c r="H53" s="15"/>
      <c r="I53" s="15"/>
      <c r="J53" s="6"/>
      <c r="K53" s="13">
        <f t="shared" si="14"/>
        <v>-0.5714285714285714</v>
      </c>
      <c r="L53" s="13"/>
      <c r="M53" s="13"/>
      <c r="N53" s="6"/>
    </row>
    <row r="54" spans="1:14" x14ac:dyDescent="0.2">
      <c r="A54" s="3" t="s">
        <v>50</v>
      </c>
      <c r="B54" s="1">
        <v>6.8165279999999999</v>
      </c>
      <c r="C54" s="15">
        <v>6.8386810000000002</v>
      </c>
      <c r="D54" s="15"/>
      <c r="E54" s="15"/>
      <c r="F54" s="6"/>
      <c r="G54" s="15">
        <f t="shared" si="13"/>
        <v>2.2153000000000311E-2</v>
      </c>
      <c r="H54" s="15"/>
      <c r="I54" s="15"/>
      <c r="J54" s="6"/>
      <c r="K54" s="13">
        <f t="shared" si="14"/>
        <v>3.2498949611884983E-3</v>
      </c>
      <c r="L54" s="13"/>
      <c r="M54" s="13"/>
      <c r="N54" s="6"/>
    </row>
    <row r="55" spans="1:14" x14ac:dyDescent="0.2">
      <c r="A55" s="3" t="s">
        <v>51</v>
      </c>
      <c r="B55" s="1">
        <v>7</v>
      </c>
      <c r="C55" s="15">
        <v>7</v>
      </c>
      <c r="D55" s="15"/>
      <c r="E55" s="15"/>
      <c r="F55" s="6"/>
      <c r="G55" s="15">
        <f t="shared" si="13"/>
        <v>0</v>
      </c>
      <c r="H55" s="15"/>
      <c r="I55" s="15"/>
      <c r="J55" s="6"/>
      <c r="K55" s="13">
        <f t="shared" si="14"/>
        <v>0</v>
      </c>
      <c r="L55" s="13"/>
      <c r="M55" s="13"/>
      <c r="N55" s="6"/>
    </row>
    <row r="56" spans="1:14" x14ac:dyDescent="0.2">
      <c r="A56" s="3" t="s">
        <v>52</v>
      </c>
      <c r="B56" s="1">
        <v>8</v>
      </c>
      <c r="C56" s="15">
        <v>8</v>
      </c>
      <c r="D56" s="15"/>
      <c r="E56" s="15"/>
      <c r="F56" s="6"/>
      <c r="G56" s="15">
        <f t="shared" si="13"/>
        <v>0</v>
      </c>
      <c r="H56" s="15"/>
      <c r="I56" s="15"/>
      <c r="J56" s="6"/>
      <c r="K56" s="13">
        <f t="shared" si="14"/>
        <v>0</v>
      </c>
      <c r="L56" s="13"/>
      <c r="M56" s="13"/>
      <c r="N56" s="6"/>
    </row>
    <row r="57" spans="1:14" x14ac:dyDescent="0.2">
      <c r="A57" s="3" t="s">
        <v>53</v>
      </c>
      <c r="B57" s="1">
        <v>4</v>
      </c>
      <c r="C57" s="15">
        <v>5</v>
      </c>
      <c r="D57" s="15"/>
      <c r="E57" s="15"/>
      <c r="F57" s="6"/>
      <c r="G57" s="15">
        <f t="shared" si="13"/>
        <v>1</v>
      </c>
      <c r="H57" s="15"/>
      <c r="I57" s="15"/>
      <c r="J57" s="6"/>
      <c r="K57" s="13">
        <f t="shared" si="14"/>
        <v>0.25</v>
      </c>
      <c r="L57" s="13"/>
      <c r="M57" s="13"/>
      <c r="N57" s="6"/>
    </row>
    <row r="58" spans="1:14" x14ac:dyDescent="0.2">
      <c r="A58" s="3" t="s">
        <v>54</v>
      </c>
      <c r="B58" s="1">
        <v>195</v>
      </c>
      <c r="C58" s="15">
        <v>274</v>
      </c>
      <c r="D58" s="15"/>
      <c r="E58" s="15"/>
      <c r="F58" s="6"/>
      <c r="G58" s="15">
        <f t="shared" si="13"/>
        <v>79</v>
      </c>
      <c r="H58" s="15"/>
      <c r="I58" s="15"/>
      <c r="J58" s="6"/>
      <c r="K58" s="13">
        <f t="shared" si="14"/>
        <v>0.40512820512820513</v>
      </c>
      <c r="L58" s="13"/>
      <c r="M58" s="13"/>
      <c r="N58" s="6"/>
    </row>
    <row r="59" spans="1:14" x14ac:dyDescent="0.2">
      <c r="A59" s="3" t="s">
        <v>55</v>
      </c>
      <c r="B59" s="5">
        <v>1.354167E-2</v>
      </c>
      <c r="C59" s="13">
        <v>1.9027780000000001E-2</v>
      </c>
      <c r="D59" s="13"/>
      <c r="E59" s="13"/>
      <c r="F59" s="6"/>
      <c r="G59" s="15">
        <f t="shared" si="13"/>
        <v>5.4861100000000006E-3</v>
      </c>
      <c r="H59" s="15"/>
      <c r="I59" s="15"/>
      <c r="J59" s="6"/>
      <c r="K59" s="13">
        <f t="shared" si="14"/>
        <v>0.405128023353102</v>
      </c>
      <c r="L59" s="13"/>
      <c r="M59" s="13"/>
      <c r="N59" s="6"/>
    </row>
    <row r="60" spans="1:14" x14ac:dyDescent="0.2">
      <c r="A60" s="7"/>
      <c r="B60" s="8"/>
      <c r="C60" s="8"/>
      <c r="D60" s="12"/>
      <c r="E60" s="8"/>
      <c r="F60" s="6"/>
      <c r="G60" s="8"/>
      <c r="H60" s="8"/>
      <c r="I60" s="8"/>
      <c r="J60" s="6"/>
      <c r="K60" s="8"/>
      <c r="L60" s="8"/>
      <c r="M60" s="8"/>
      <c r="N60" s="6"/>
    </row>
    <row r="61" spans="1:14" x14ac:dyDescent="0.2">
      <c r="A61" s="3" t="s">
        <v>72</v>
      </c>
      <c r="B61" s="15" t="s">
        <v>75</v>
      </c>
      <c r="C61" s="15"/>
      <c r="D61" s="15"/>
      <c r="E61" s="15"/>
      <c r="F61" s="6"/>
      <c r="G61" s="15" t="s">
        <v>74</v>
      </c>
      <c r="H61" s="15"/>
      <c r="I61" s="15"/>
      <c r="J61" s="6"/>
      <c r="K61" s="15" t="s">
        <v>74</v>
      </c>
      <c r="L61" s="15"/>
      <c r="M61" s="15"/>
      <c r="N61" s="6"/>
    </row>
    <row r="62" spans="1:14" x14ac:dyDescent="0.2">
      <c r="A62" s="3" t="s">
        <v>32</v>
      </c>
      <c r="B62" s="1">
        <v>0.504722</v>
      </c>
      <c r="C62" s="15">
        <v>1.993611</v>
      </c>
      <c r="D62" s="15"/>
      <c r="E62" s="15"/>
      <c r="F62" s="6"/>
      <c r="G62" s="15">
        <f t="shared" ref="G62:G73" si="15">C62-B62</f>
        <v>1.4888889999999999</v>
      </c>
      <c r="H62" s="15"/>
      <c r="I62" s="15"/>
      <c r="J62" s="6"/>
      <c r="K62" s="13">
        <f>G62/B62</f>
        <v>2.9499189652917841</v>
      </c>
      <c r="L62" s="13"/>
      <c r="M62" s="13"/>
      <c r="N62" s="6"/>
    </row>
    <row r="63" spans="1:14" x14ac:dyDescent="0.2">
      <c r="A63" s="3" t="s">
        <v>33</v>
      </c>
      <c r="B63" s="1">
        <v>0.42791699999999999</v>
      </c>
      <c r="C63" s="15">
        <v>1.104444</v>
      </c>
      <c r="D63" s="15"/>
      <c r="E63" s="15"/>
      <c r="F63" s="6"/>
      <c r="G63" s="15">
        <f t="shared" si="15"/>
        <v>0.67652699999999999</v>
      </c>
      <c r="H63" s="15"/>
      <c r="I63" s="15"/>
      <c r="J63" s="6"/>
      <c r="K63" s="13">
        <f t="shared" ref="K63" si="16">G63/B63</f>
        <v>1.5809771521112739</v>
      </c>
      <c r="L63" s="13"/>
      <c r="M63" s="13"/>
      <c r="N63" s="6"/>
    </row>
    <row r="64" spans="1:14" x14ac:dyDescent="0.2">
      <c r="A64" s="3" t="s">
        <v>34</v>
      </c>
      <c r="B64" s="1">
        <v>0</v>
      </c>
      <c r="C64" s="15">
        <v>1</v>
      </c>
      <c r="D64" s="15"/>
      <c r="E64" s="15"/>
      <c r="F64" s="6"/>
      <c r="G64" s="15">
        <f t="shared" si="15"/>
        <v>1</v>
      </c>
      <c r="H64" s="15"/>
      <c r="I64" s="15"/>
      <c r="J64" s="6"/>
      <c r="K64" s="13" t="s">
        <v>56</v>
      </c>
      <c r="L64" s="13"/>
      <c r="M64" s="13"/>
      <c r="N64" s="6"/>
    </row>
    <row r="65" spans="1:14" x14ac:dyDescent="0.2">
      <c r="A65" s="3" t="s">
        <v>35</v>
      </c>
      <c r="B65" s="1">
        <v>0</v>
      </c>
      <c r="C65" s="15">
        <v>1</v>
      </c>
      <c r="D65" s="15"/>
      <c r="E65" s="15"/>
      <c r="F65" s="6"/>
      <c r="G65" s="15">
        <f t="shared" si="15"/>
        <v>1</v>
      </c>
      <c r="H65" s="15"/>
      <c r="I65" s="15"/>
      <c r="J65" s="6"/>
      <c r="K65" s="13" t="s">
        <v>56</v>
      </c>
      <c r="L65" s="13"/>
      <c r="M65" s="13"/>
      <c r="N65" s="6"/>
    </row>
    <row r="66" spans="1:14" x14ac:dyDescent="0.2">
      <c r="A66" s="3" t="s">
        <v>36</v>
      </c>
      <c r="B66" s="1">
        <v>-4</v>
      </c>
      <c r="C66" s="15">
        <v>-1</v>
      </c>
      <c r="D66" s="15"/>
      <c r="E66" s="15"/>
      <c r="F66" s="6"/>
      <c r="G66" s="15">
        <f t="shared" si="15"/>
        <v>3</v>
      </c>
      <c r="H66" s="15"/>
      <c r="I66" s="15"/>
      <c r="J66" s="6"/>
      <c r="K66" s="13">
        <f t="shared" ref="K66:K73" si="17">G66/B66</f>
        <v>-0.75</v>
      </c>
      <c r="L66" s="13"/>
      <c r="M66" s="13"/>
      <c r="N66" s="6"/>
    </row>
    <row r="67" spans="1:14" x14ac:dyDescent="0.2">
      <c r="A67" s="3" t="s">
        <v>37</v>
      </c>
      <c r="B67" s="1">
        <v>2</v>
      </c>
      <c r="C67" s="15">
        <v>6</v>
      </c>
      <c r="D67" s="15"/>
      <c r="E67" s="15"/>
      <c r="F67" s="6"/>
      <c r="G67" s="15">
        <f t="shared" si="15"/>
        <v>4</v>
      </c>
      <c r="H67" s="15"/>
      <c r="I67" s="15"/>
      <c r="J67" s="6"/>
      <c r="K67" s="13">
        <f t="shared" si="17"/>
        <v>2</v>
      </c>
      <c r="L67" s="13"/>
      <c r="M67" s="13"/>
      <c r="N67" s="6"/>
    </row>
    <row r="68" spans="1:14" x14ac:dyDescent="0.2">
      <c r="A68" s="3" t="s">
        <v>38</v>
      </c>
      <c r="B68" s="1">
        <v>7.5170139999999996</v>
      </c>
      <c r="C68" s="15">
        <v>6.8986809999999998</v>
      </c>
      <c r="D68" s="15"/>
      <c r="E68" s="15"/>
      <c r="F68" s="6"/>
      <c r="G68" s="15">
        <f t="shared" si="15"/>
        <v>-0.6183329999999998</v>
      </c>
      <c r="H68" s="15"/>
      <c r="I68" s="15"/>
      <c r="J68" s="6"/>
      <c r="K68" s="13">
        <f t="shared" si="17"/>
        <v>-8.2257795449097185E-2</v>
      </c>
      <c r="L68" s="13"/>
      <c r="M68" s="13"/>
      <c r="N68" s="6"/>
    </row>
    <row r="69" spans="1:14" x14ac:dyDescent="0.2">
      <c r="A69" s="3" t="s">
        <v>39</v>
      </c>
      <c r="B69" s="1">
        <v>8</v>
      </c>
      <c r="C69" s="15">
        <v>7</v>
      </c>
      <c r="D69" s="15"/>
      <c r="E69" s="15"/>
      <c r="F69" s="6"/>
      <c r="G69" s="15">
        <f t="shared" si="15"/>
        <v>-1</v>
      </c>
      <c r="H69" s="15"/>
      <c r="I69" s="15"/>
      <c r="J69" s="6"/>
      <c r="K69" s="13">
        <f t="shared" si="17"/>
        <v>-0.125</v>
      </c>
      <c r="L69" s="13"/>
      <c r="M69" s="13"/>
      <c r="N69" s="6"/>
    </row>
    <row r="70" spans="1:14" x14ac:dyDescent="0.2">
      <c r="A70" s="3" t="s">
        <v>40</v>
      </c>
      <c r="B70" s="1">
        <v>8</v>
      </c>
      <c r="C70" s="15">
        <v>8</v>
      </c>
      <c r="D70" s="15"/>
      <c r="E70" s="15"/>
      <c r="F70" s="6"/>
      <c r="G70" s="15">
        <f t="shared" si="15"/>
        <v>0</v>
      </c>
      <c r="H70" s="15"/>
      <c r="I70" s="15"/>
      <c r="J70" s="6"/>
      <c r="K70" s="13">
        <f t="shared" si="17"/>
        <v>0</v>
      </c>
      <c r="L70" s="13"/>
      <c r="M70" s="13"/>
      <c r="N70" s="6"/>
    </row>
    <row r="71" spans="1:14" x14ac:dyDescent="0.2">
      <c r="A71" s="3" t="s">
        <v>41</v>
      </c>
      <c r="B71" s="1">
        <v>5</v>
      </c>
      <c r="C71" s="15">
        <v>4</v>
      </c>
      <c r="D71" s="15"/>
      <c r="E71" s="15"/>
      <c r="F71" s="6"/>
      <c r="G71" s="15">
        <f t="shared" si="15"/>
        <v>-1</v>
      </c>
      <c r="H71" s="15"/>
      <c r="I71" s="15"/>
      <c r="J71" s="6"/>
      <c r="K71" s="13">
        <f t="shared" si="17"/>
        <v>-0.2</v>
      </c>
      <c r="L71" s="13"/>
      <c r="M71" s="13"/>
      <c r="N71" s="6"/>
    </row>
    <row r="72" spans="1:14" x14ac:dyDescent="0.2">
      <c r="A72" s="3" t="s">
        <v>42</v>
      </c>
      <c r="B72" s="1">
        <v>8750</v>
      </c>
      <c r="C72" s="15">
        <v>3440</v>
      </c>
      <c r="D72" s="15"/>
      <c r="E72" s="15"/>
      <c r="F72" s="6"/>
      <c r="G72" s="15">
        <f t="shared" si="15"/>
        <v>-5310</v>
      </c>
      <c r="H72" s="15"/>
      <c r="I72" s="15"/>
      <c r="J72" s="6"/>
      <c r="K72" s="13">
        <f t="shared" si="17"/>
        <v>-0.60685714285714287</v>
      </c>
      <c r="L72" s="13"/>
      <c r="M72" s="13"/>
      <c r="N72" s="6"/>
    </row>
    <row r="73" spans="1:14" x14ac:dyDescent="0.2">
      <c r="A73" s="3" t="s">
        <v>43</v>
      </c>
      <c r="B73" s="5">
        <v>0.60763889000000004</v>
      </c>
      <c r="C73" s="16">
        <v>0.23888888999999999</v>
      </c>
      <c r="D73" s="16"/>
      <c r="E73" s="16"/>
      <c r="F73" s="6"/>
      <c r="G73" s="15">
        <f t="shared" si="15"/>
        <v>-0.36875000000000002</v>
      </c>
      <c r="H73" s="15"/>
      <c r="I73" s="15"/>
      <c r="J73" s="6"/>
      <c r="K73" s="13">
        <f t="shared" si="17"/>
        <v>-0.60685714174746119</v>
      </c>
      <c r="L73" s="13"/>
      <c r="M73" s="13"/>
      <c r="N73" s="6"/>
    </row>
    <row r="74" spans="1:14" x14ac:dyDescent="0.2">
      <c r="A74" s="7"/>
      <c r="B74" s="8"/>
      <c r="C74" s="8"/>
      <c r="D74" s="12"/>
      <c r="E74" s="8"/>
      <c r="F74" s="6"/>
      <c r="G74" s="8"/>
      <c r="H74" s="8"/>
      <c r="I74" s="8"/>
      <c r="J74" s="6"/>
      <c r="K74" s="8"/>
      <c r="L74" s="8"/>
      <c r="M74" s="8"/>
      <c r="N74" s="6"/>
    </row>
    <row r="75" spans="1:14" x14ac:dyDescent="0.2">
      <c r="A75" s="3" t="s">
        <v>72</v>
      </c>
      <c r="B75" s="15" t="s">
        <v>75</v>
      </c>
      <c r="C75" s="15"/>
      <c r="D75" s="15"/>
      <c r="E75" s="15"/>
      <c r="F75" s="6"/>
      <c r="G75" s="15" t="s">
        <v>74</v>
      </c>
      <c r="H75" s="15"/>
      <c r="I75" s="15"/>
      <c r="J75" s="6"/>
      <c r="K75" s="15" t="s">
        <v>74</v>
      </c>
      <c r="L75" s="15"/>
      <c r="M75" s="15"/>
      <c r="N75" s="6"/>
    </row>
    <row r="76" spans="1:14" x14ac:dyDescent="0.2">
      <c r="A76" s="3" t="s">
        <v>44</v>
      </c>
      <c r="B76" s="1">
        <v>0.262708</v>
      </c>
      <c r="C76" s="15">
        <v>1.8402999999999999E-2</v>
      </c>
      <c r="D76" s="15"/>
      <c r="E76" s="15"/>
      <c r="F76" s="6"/>
      <c r="G76" s="15">
        <f t="shared" ref="G76:G87" si="18">C76-B76</f>
        <v>-0.24430499999999999</v>
      </c>
      <c r="H76" s="15"/>
      <c r="I76" s="15"/>
      <c r="J76" s="6"/>
      <c r="K76" s="13">
        <f>G76/B76</f>
        <v>-0.92994884053778337</v>
      </c>
      <c r="L76" s="13"/>
      <c r="M76" s="13"/>
      <c r="N76" s="6"/>
    </row>
    <row r="77" spans="1:14" x14ac:dyDescent="0.2">
      <c r="A77" s="3" t="s">
        <v>45</v>
      </c>
      <c r="B77" s="1">
        <v>1.3542E-2</v>
      </c>
      <c r="C77" s="15">
        <v>4.9309999999999996E-3</v>
      </c>
      <c r="D77" s="15"/>
      <c r="E77" s="15"/>
      <c r="F77" s="6"/>
      <c r="G77" s="15">
        <f t="shared" si="18"/>
        <v>-8.6110000000000006E-3</v>
      </c>
      <c r="H77" s="15"/>
      <c r="I77" s="15"/>
      <c r="J77" s="6"/>
      <c r="K77" s="13">
        <f t="shared" ref="K77:K87" si="19">G77/B77</f>
        <v>-0.63587357849652937</v>
      </c>
      <c r="L77" s="13"/>
      <c r="M77" s="13"/>
      <c r="N77" s="6"/>
    </row>
    <row r="78" spans="1:14" x14ac:dyDescent="0.2">
      <c r="A78" s="3" t="s">
        <v>46</v>
      </c>
      <c r="B78" s="1">
        <v>0</v>
      </c>
      <c r="C78" s="15">
        <v>0</v>
      </c>
      <c r="D78" s="15"/>
      <c r="E78" s="15"/>
      <c r="F78" s="6"/>
      <c r="G78" s="15">
        <f t="shared" si="18"/>
        <v>0</v>
      </c>
      <c r="H78" s="15"/>
      <c r="I78" s="15"/>
      <c r="J78" s="6"/>
      <c r="K78" s="13">
        <v>0</v>
      </c>
      <c r="L78" s="13"/>
      <c r="M78" s="13"/>
      <c r="N78" s="6"/>
    </row>
    <row r="79" spans="1:14" x14ac:dyDescent="0.2">
      <c r="A79" s="3" t="s">
        <v>47</v>
      </c>
      <c r="B79" s="1">
        <v>0</v>
      </c>
      <c r="C79" s="15">
        <v>0</v>
      </c>
      <c r="D79" s="15"/>
      <c r="E79" s="15"/>
      <c r="F79" s="6"/>
      <c r="G79" s="15">
        <f t="shared" si="18"/>
        <v>0</v>
      </c>
      <c r="H79" s="15"/>
      <c r="I79" s="15"/>
      <c r="J79" s="6"/>
      <c r="K79" s="13">
        <v>0</v>
      </c>
      <c r="L79" s="13"/>
      <c r="M79" s="13"/>
      <c r="N79" s="6"/>
    </row>
    <row r="80" spans="1:14" x14ac:dyDescent="0.2">
      <c r="A80" s="3" t="s">
        <v>48</v>
      </c>
      <c r="B80" s="1">
        <v>-2</v>
      </c>
      <c r="C80" s="15">
        <v>-2</v>
      </c>
      <c r="D80" s="15"/>
      <c r="E80" s="15"/>
      <c r="F80" s="6"/>
      <c r="G80" s="15">
        <f t="shared" si="18"/>
        <v>0</v>
      </c>
      <c r="H80" s="15"/>
      <c r="I80" s="15"/>
      <c r="J80" s="6"/>
      <c r="K80" s="13">
        <f t="shared" si="19"/>
        <v>0</v>
      </c>
      <c r="L80" s="13"/>
      <c r="M80" s="13"/>
      <c r="N80" s="6"/>
    </row>
    <row r="81" spans="1:14" x14ac:dyDescent="0.2">
      <c r="A81" s="3" t="s">
        <v>49</v>
      </c>
      <c r="B81" s="1">
        <v>43</v>
      </c>
      <c r="C81" s="15">
        <v>7</v>
      </c>
      <c r="D81" s="15"/>
      <c r="E81" s="15"/>
      <c r="F81" s="6"/>
      <c r="G81" s="15">
        <f t="shared" si="18"/>
        <v>-36</v>
      </c>
      <c r="H81" s="15"/>
      <c r="I81" s="15"/>
      <c r="J81" s="6"/>
      <c r="K81" s="13">
        <f t="shared" si="19"/>
        <v>-0.83720930232558144</v>
      </c>
      <c r="L81" s="13"/>
      <c r="M81" s="13"/>
      <c r="N81" s="6"/>
    </row>
    <row r="82" spans="1:14" x14ac:dyDescent="0.2">
      <c r="A82" s="3" t="s">
        <v>50</v>
      </c>
      <c r="B82" s="1">
        <v>7.9959030000000002</v>
      </c>
      <c r="C82" s="15">
        <v>7.9970829999999999</v>
      </c>
      <c r="D82" s="15"/>
      <c r="E82" s="15"/>
      <c r="F82" s="6"/>
      <c r="G82" s="15">
        <f t="shared" si="18"/>
        <v>1.1799999999997368E-3</v>
      </c>
      <c r="H82" s="15"/>
      <c r="I82" s="15"/>
      <c r="J82" s="6"/>
      <c r="K82" s="13">
        <f t="shared" si="19"/>
        <v>1.4757557714241114E-4</v>
      </c>
      <c r="L82" s="13"/>
      <c r="M82" s="13"/>
      <c r="N82" s="6"/>
    </row>
    <row r="83" spans="1:14" x14ac:dyDescent="0.2">
      <c r="A83" s="3" t="s">
        <v>51</v>
      </c>
      <c r="B83" s="1">
        <v>8</v>
      </c>
      <c r="C83" s="15">
        <v>8</v>
      </c>
      <c r="D83" s="15"/>
      <c r="E83" s="15"/>
      <c r="F83" s="6"/>
      <c r="G83" s="15">
        <f t="shared" si="18"/>
        <v>0</v>
      </c>
      <c r="H83" s="15"/>
      <c r="I83" s="15"/>
      <c r="J83" s="6"/>
      <c r="K83" s="13">
        <f t="shared" si="19"/>
        <v>0</v>
      </c>
      <c r="L83" s="13"/>
      <c r="M83" s="13"/>
      <c r="N83" s="6"/>
    </row>
    <row r="84" spans="1:14" x14ac:dyDescent="0.2">
      <c r="A84" s="3" t="s">
        <v>52</v>
      </c>
      <c r="B84" s="1">
        <v>8</v>
      </c>
      <c r="C84" s="15">
        <v>8</v>
      </c>
      <c r="D84" s="15"/>
      <c r="E84" s="15"/>
      <c r="F84" s="6"/>
      <c r="G84" s="15">
        <f t="shared" si="18"/>
        <v>0</v>
      </c>
      <c r="H84" s="15"/>
      <c r="I84" s="15"/>
      <c r="J84" s="6"/>
      <c r="K84" s="13">
        <f t="shared" si="19"/>
        <v>0</v>
      </c>
      <c r="L84" s="13"/>
      <c r="M84" s="13"/>
      <c r="N84" s="6"/>
    </row>
    <row r="85" spans="1:14" x14ac:dyDescent="0.2">
      <c r="A85" s="3" t="s">
        <v>53</v>
      </c>
      <c r="B85" s="1">
        <v>4</v>
      </c>
      <c r="C85" s="15">
        <v>5</v>
      </c>
      <c r="D85" s="15"/>
      <c r="E85" s="15"/>
      <c r="F85" s="6"/>
      <c r="G85" s="15">
        <f t="shared" si="18"/>
        <v>1</v>
      </c>
      <c r="H85" s="15"/>
      <c r="I85" s="15"/>
      <c r="J85" s="6"/>
      <c r="K85" s="13">
        <f t="shared" si="19"/>
        <v>0.25</v>
      </c>
      <c r="L85" s="13"/>
      <c r="M85" s="13"/>
      <c r="N85" s="6"/>
    </row>
    <row r="86" spans="1:14" x14ac:dyDescent="0.2">
      <c r="A86" s="3" t="s">
        <v>54</v>
      </c>
      <c r="B86" s="1">
        <v>14355</v>
      </c>
      <c r="C86" s="15">
        <v>14366</v>
      </c>
      <c r="D86" s="15"/>
      <c r="E86" s="15"/>
      <c r="F86" s="6"/>
      <c r="G86" s="15">
        <f t="shared" si="18"/>
        <v>11</v>
      </c>
      <c r="H86" s="15"/>
      <c r="I86" s="15"/>
      <c r="J86" s="6"/>
      <c r="K86" s="13">
        <f t="shared" si="19"/>
        <v>7.6628352490421458E-4</v>
      </c>
      <c r="L86" s="13"/>
      <c r="M86" s="13"/>
      <c r="N86" s="6"/>
    </row>
    <row r="87" spans="1:14" x14ac:dyDescent="0.2">
      <c r="A87" s="3" t="s">
        <v>55</v>
      </c>
      <c r="B87" s="5">
        <v>0.99687499999999996</v>
      </c>
      <c r="C87" s="13">
        <v>0.99768889999999999</v>
      </c>
      <c r="D87" s="13"/>
      <c r="E87" s="13"/>
      <c r="F87" s="6"/>
      <c r="G87" s="15">
        <f t="shared" si="18"/>
        <v>8.1390000000003404E-4</v>
      </c>
      <c r="H87" s="15"/>
      <c r="I87" s="15"/>
      <c r="J87" s="6"/>
      <c r="K87" s="13">
        <f t="shared" si="19"/>
        <v>8.1645141065834136E-4</v>
      </c>
      <c r="L87" s="13"/>
      <c r="M87" s="13"/>
      <c r="N87" s="6"/>
    </row>
    <row r="88" spans="1:14" x14ac:dyDescent="0.2">
      <c r="A88" s="7"/>
      <c r="B88" s="8"/>
      <c r="C88" s="8"/>
      <c r="D88" s="12"/>
      <c r="E88" s="8"/>
      <c r="F88" s="6"/>
      <c r="G88" s="8"/>
      <c r="H88" s="8"/>
      <c r="I88" s="8"/>
      <c r="J88" s="6"/>
      <c r="K88" s="8"/>
      <c r="L88" s="8"/>
      <c r="M88" s="8"/>
      <c r="N88" s="6"/>
    </row>
    <row r="89" spans="1:14" x14ac:dyDescent="0.2">
      <c r="A89" s="3" t="s">
        <v>72</v>
      </c>
      <c r="B89" s="15" t="s">
        <v>76</v>
      </c>
      <c r="C89" s="15"/>
      <c r="D89" s="15"/>
      <c r="E89" s="15"/>
      <c r="F89" s="6"/>
      <c r="G89" s="15" t="s">
        <v>74</v>
      </c>
      <c r="H89" s="15"/>
      <c r="I89" s="15"/>
      <c r="J89" s="6"/>
      <c r="K89" s="15" t="s">
        <v>74</v>
      </c>
      <c r="L89" s="15"/>
      <c r="M89" s="15"/>
      <c r="N89" s="6"/>
    </row>
    <row r="90" spans="1:14" x14ac:dyDescent="0.2">
      <c r="A90" s="3" t="s">
        <v>32</v>
      </c>
      <c r="B90" s="1">
        <v>0.158472</v>
      </c>
      <c r="C90" s="15">
        <v>0.62048599999999998</v>
      </c>
      <c r="D90" s="15"/>
      <c r="E90" s="15"/>
      <c r="F90" s="6"/>
      <c r="G90" s="15">
        <f t="shared" ref="G90:G101" si="20">C90-B90</f>
        <v>0.46201399999999998</v>
      </c>
      <c r="H90" s="15"/>
      <c r="I90" s="15"/>
      <c r="J90" s="6"/>
      <c r="K90" s="13">
        <f>G90/B90</f>
        <v>2.9154298551163609</v>
      </c>
      <c r="L90" s="13"/>
      <c r="M90" s="13"/>
      <c r="N90" s="6"/>
    </row>
    <row r="91" spans="1:14" x14ac:dyDescent="0.2">
      <c r="A91" s="3" t="s">
        <v>33</v>
      </c>
      <c r="B91" s="1">
        <v>0.11805599999999999</v>
      </c>
      <c r="C91" s="15">
        <v>0.330486</v>
      </c>
      <c r="D91" s="15"/>
      <c r="E91" s="15"/>
      <c r="F91" s="6"/>
      <c r="G91" s="15">
        <f t="shared" si="20"/>
        <v>0.21243000000000001</v>
      </c>
      <c r="H91" s="15"/>
      <c r="I91" s="15"/>
      <c r="J91" s="6"/>
      <c r="K91" s="13">
        <f t="shared" ref="K91" si="21">G91/B91</f>
        <v>1.7994002846106933</v>
      </c>
      <c r="L91" s="13"/>
      <c r="M91" s="13"/>
      <c r="N91" s="6"/>
    </row>
    <row r="92" spans="1:14" x14ac:dyDescent="0.2">
      <c r="A92" s="3" t="s">
        <v>34</v>
      </c>
      <c r="B92" s="1">
        <v>0</v>
      </c>
      <c r="C92" s="15">
        <v>0</v>
      </c>
      <c r="D92" s="15"/>
      <c r="E92" s="15"/>
      <c r="F92" s="6"/>
      <c r="G92" s="15">
        <f t="shared" si="20"/>
        <v>0</v>
      </c>
      <c r="H92" s="15"/>
      <c r="I92" s="15"/>
      <c r="J92" s="6"/>
      <c r="K92" s="13" t="s">
        <v>56</v>
      </c>
      <c r="L92" s="13"/>
      <c r="M92" s="13"/>
      <c r="N92" s="6"/>
    </row>
    <row r="93" spans="1:14" x14ac:dyDescent="0.2">
      <c r="A93" s="3" t="s">
        <v>35</v>
      </c>
      <c r="B93" s="1">
        <v>0</v>
      </c>
      <c r="C93" s="15">
        <v>0</v>
      </c>
      <c r="D93" s="15"/>
      <c r="E93" s="15"/>
      <c r="F93" s="6"/>
      <c r="G93" s="15">
        <f t="shared" si="20"/>
        <v>0</v>
      </c>
      <c r="H93" s="15"/>
      <c r="I93" s="15"/>
      <c r="J93" s="6"/>
      <c r="K93" s="13" t="s">
        <v>56</v>
      </c>
      <c r="L93" s="13"/>
      <c r="M93" s="13"/>
      <c r="N93" s="6"/>
    </row>
    <row r="94" spans="1:14" x14ac:dyDescent="0.2">
      <c r="A94" s="3" t="s">
        <v>36</v>
      </c>
      <c r="B94" s="1">
        <v>-3</v>
      </c>
      <c r="C94" s="15">
        <v>-1</v>
      </c>
      <c r="D94" s="15"/>
      <c r="E94" s="15"/>
      <c r="F94" s="6"/>
      <c r="G94" s="15">
        <f t="shared" si="20"/>
        <v>2</v>
      </c>
      <c r="H94" s="15"/>
      <c r="I94" s="15"/>
      <c r="J94" s="6"/>
      <c r="K94" s="13">
        <f t="shared" ref="K94:K101" si="22">G94/B94</f>
        <v>-0.66666666666666663</v>
      </c>
      <c r="L94" s="13"/>
      <c r="M94" s="13"/>
      <c r="N94" s="6"/>
    </row>
    <row r="95" spans="1:14" x14ac:dyDescent="0.2">
      <c r="A95" s="3" t="s">
        <v>37</v>
      </c>
      <c r="B95" s="1">
        <v>3</v>
      </c>
      <c r="C95" s="15">
        <v>5</v>
      </c>
      <c r="D95" s="15"/>
      <c r="E95" s="15"/>
      <c r="F95" s="6"/>
      <c r="G95" s="15">
        <f t="shared" si="20"/>
        <v>2</v>
      </c>
      <c r="H95" s="15"/>
      <c r="I95" s="15"/>
      <c r="J95" s="6"/>
      <c r="K95" s="13">
        <f t="shared" si="22"/>
        <v>0.66666666666666663</v>
      </c>
      <c r="L95" s="13"/>
      <c r="M95" s="13"/>
      <c r="N95" s="6"/>
    </row>
    <row r="96" spans="1:14" x14ac:dyDescent="0.2">
      <c r="A96" s="3" t="s">
        <v>38</v>
      </c>
      <c r="B96" s="1">
        <v>7.8784720000000004</v>
      </c>
      <c r="C96" s="15">
        <v>7.6824310000000002</v>
      </c>
      <c r="D96" s="15"/>
      <c r="E96" s="15"/>
      <c r="F96" s="6"/>
      <c r="G96" s="15">
        <f t="shared" si="20"/>
        <v>-0.19604100000000013</v>
      </c>
      <c r="H96" s="15"/>
      <c r="I96" s="15"/>
      <c r="J96" s="6"/>
      <c r="K96" s="13">
        <f t="shared" si="22"/>
        <v>-2.488312454496254E-2</v>
      </c>
      <c r="L96" s="13"/>
      <c r="M96" s="13"/>
      <c r="N96" s="6"/>
    </row>
    <row r="97" spans="1:14" x14ac:dyDescent="0.2">
      <c r="A97" s="3" t="s">
        <v>39</v>
      </c>
      <c r="B97" s="1">
        <v>8</v>
      </c>
      <c r="C97" s="15">
        <v>8</v>
      </c>
      <c r="D97" s="15"/>
      <c r="E97" s="15"/>
      <c r="F97" s="6"/>
      <c r="G97" s="15">
        <f t="shared" si="20"/>
        <v>0</v>
      </c>
      <c r="H97" s="15"/>
      <c r="I97" s="15"/>
      <c r="J97" s="6"/>
      <c r="K97" s="13">
        <f t="shared" si="22"/>
        <v>0</v>
      </c>
      <c r="L97" s="13"/>
      <c r="M97" s="13"/>
      <c r="N97" s="6"/>
    </row>
    <row r="98" spans="1:14" x14ac:dyDescent="0.2">
      <c r="A98" s="3" t="s">
        <v>40</v>
      </c>
      <c r="B98" s="1">
        <v>8</v>
      </c>
      <c r="C98" s="15">
        <v>8</v>
      </c>
      <c r="D98" s="15"/>
      <c r="E98" s="15"/>
      <c r="F98" s="6"/>
      <c r="G98" s="15">
        <f t="shared" si="20"/>
        <v>0</v>
      </c>
      <c r="H98" s="15"/>
      <c r="I98" s="15"/>
      <c r="J98" s="6"/>
      <c r="K98" s="13">
        <f t="shared" si="22"/>
        <v>0</v>
      </c>
      <c r="L98" s="13"/>
      <c r="M98" s="13"/>
      <c r="N98" s="6"/>
    </row>
    <row r="99" spans="1:14" x14ac:dyDescent="0.2">
      <c r="A99" s="3" t="s">
        <v>41</v>
      </c>
      <c r="B99" s="1">
        <v>6</v>
      </c>
      <c r="C99" s="15">
        <v>5</v>
      </c>
      <c r="D99" s="15"/>
      <c r="E99" s="15"/>
      <c r="F99" s="6"/>
      <c r="G99" s="15">
        <f t="shared" si="20"/>
        <v>-1</v>
      </c>
      <c r="H99" s="15"/>
      <c r="I99" s="15"/>
      <c r="J99" s="6"/>
      <c r="K99" s="13">
        <f t="shared" si="22"/>
        <v>-0.16666666666666666</v>
      </c>
      <c r="L99" s="13"/>
      <c r="M99" s="13"/>
      <c r="N99" s="6"/>
    </row>
    <row r="100" spans="1:14" x14ac:dyDescent="0.2">
      <c r="A100" s="3" t="s">
        <v>42</v>
      </c>
      <c r="B100" s="1">
        <v>12954</v>
      </c>
      <c r="C100" s="15">
        <v>10955</v>
      </c>
      <c r="D100" s="15"/>
      <c r="E100" s="15"/>
      <c r="F100" s="6"/>
      <c r="G100" s="15">
        <f t="shared" si="20"/>
        <v>-1999</v>
      </c>
      <c r="H100" s="15"/>
      <c r="I100" s="15"/>
      <c r="J100" s="6"/>
      <c r="K100" s="13">
        <f t="shared" si="22"/>
        <v>-0.15431526941485255</v>
      </c>
      <c r="L100" s="13"/>
      <c r="M100" s="13"/>
      <c r="N100" s="6"/>
    </row>
    <row r="101" spans="1:14" x14ac:dyDescent="0.2">
      <c r="A101" s="3" t="s">
        <v>43</v>
      </c>
      <c r="B101" s="5">
        <v>0.89958333000000001</v>
      </c>
      <c r="C101" s="16">
        <v>0.76076389</v>
      </c>
      <c r="D101" s="16"/>
      <c r="E101" s="16"/>
      <c r="F101" s="6"/>
      <c r="G101" s="15">
        <f t="shared" si="20"/>
        <v>-0.13881944000000002</v>
      </c>
      <c r="H101" s="15"/>
      <c r="I101" s="15"/>
      <c r="J101" s="6"/>
      <c r="K101" s="13">
        <f t="shared" si="22"/>
        <v>-0.15431526504609641</v>
      </c>
      <c r="L101" s="13"/>
      <c r="M101" s="13"/>
      <c r="N101" s="6"/>
    </row>
    <row r="102" spans="1:14" x14ac:dyDescent="0.2">
      <c r="A102" s="7"/>
      <c r="B102" s="8"/>
      <c r="C102" s="8"/>
      <c r="D102" s="12"/>
      <c r="E102" s="8"/>
      <c r="F102" s="6"/>
      <c r="G102" s="8"/>
      <c r="H102" s="8"/>
      <c r="I102" s="8"/>
      <c r="J102" s="6"/>
      <c r="K102" s="8"/>
      <c r="L102" s="8"/>
      <c r="M102" s="8"/>
      <c r="N102" s="6"/>
    </row>
    <row r="103" spans="1:14" x14ac:dyDescent="0.2">
      <c r="A103" s="3" t="s">
        <v>72</v>
      </c>
      <c r="B103" s="15" t="s">
        <v>76</v>
      </c>
      <c r="C103" s="15"/>
      <c r="D103" s="15"/>
      <c r="E103" s="15"/>
      <c r="F103" s="6"/>
      <c r="G103" s="15" t="s">
        <v>74</v>
      </c>
      <c r="H103" s="15"/>
      <c r="I103" s="15"/>
      <c r="J103" s="6"/>
      <c r="K103" s="15" t="s">
        <v>74</v>
      </c>
      <c r="L103" s="15"/>
      <c r="M103" s="15"/>
      <c r="N103" s="6"/>
    </row>
    <row r="104" spans="1:14" x14ac:dyDescent="0.2">
      <c r="A104" s="3" t="s">
        <v>44</v>
      </c>
      <c r="B104" s="1">
        <v>1.5175689999999999</v>
      </c>
      <c r="C104" s="15">
        <v>1.327917</v>
      </c>
      <c r="D104" s="15"/>
      <c r="E104" s="15"/>
      <c r="F104" s="6"/>
      <c r="G104" s="15">
        <f t="shared" ref="G104:G115" si="23">C104-B104</f>
        <v>-0.18965199999999993</v>
      </c>
      <c r="H104" s="15"/>
      <c r="I104" s="15"/>
      <c r="J104" s="6"/>
      <c r="K104" s="13">
        <f>G104/B104</f>
        <v>-0.12497092389209317</v>
      </c>
      <c r="L104" s="13"/>
      <c r="M104" s="13"/>
      <c r="N104" s="6"/>
    </row>
    <row r="105" spans="1:14" x14ac:dyDescent="0.2">
      <c r="A105" s="3" t="s">
        <v>45</v>
      </c>
      <c r="B105" s="1">
        <v>0.36506899999999998</v>
      </c>
      <c r="C105" s="15">
        <v>0.32305600000000001</v>
      </c>
      <c r="D105" s="15"/>
      <c r="E105" s="15"/>
      <c r="F105" s="6"/>
      <c r="G105" s="15">
        <f t="shared" si="23"/>
        <v>-4.2012999999999967E-2</v>
      </c>
      <c r="H105" s="15"/>
      <c r="I105" s="15"/>
      <c r="J105" s="6"/>
      <c r="K105" s="13">
        <f t="shared" ref="K105:K115" si="24">G105/B105</f>
        <v>-0.1150823542946675</v>
      </c>
      <c r="L105" s="13"/>
      <c r="M105" s="13"/>
      <c r="N105" s="6"/>
    </row>
    <row r="106" spans="1:14" x14ac:dyDescent="0.2">
      <c r="A106" s="3" t="s">
        <v>46</v>
      </c>
      <c r="B106" s="1">
        <v>0</v>
      </c>
      <c r="C106" s="15">
        <v>0</v>
      </c>
      <c r="D106" s="15"/>
      <c r="E106" s="15"/>
      <c r="F106" s="6"/>
      <c r="G106" s="15">
        <f t="shared" si="23"/>
        <v>0</v>
      </c>
      <c r="H106" s="15"/>
      <c r="I106" s="15"/>
      <c r="J106" s="6"/>
      <c r="K106" s="13">
        <v>0</v>
      </c>
      <c r="L106" s="13"/>
      <c r="M106" s="13"/>
      <c r="N106" s="6"/>
    </row>
    <row r="107" spans="1:14" x14ac:dyDescent="0.2">
      <c r="A107" s="3" t="s">
        <v>47</v>
      </c>
      <c r="B107" s="1">
        <v>0</v>
      </c>
      <c r="C107" s="15">
        <v>0</v>
      </c>
      <c r="D107" s="15"/>
      <c r="E107" s="15"/>
      <c r="F107" s="6"/>
      <c r="G107" s="15">
        <f t="shared" si="23"/>
        <v>0</v>
      </c>
      <c r="H107" s="15"/>
      <c r="I107" s="15"/>
      <c r="J107" s="6"/>
      <c r="K107" s="13">
        <v>0</v>
      </c>
      <c r="L107" s="13"/>
      <c r="M107" s="13"/>
      <c r="N107" s="6"/>
    </row>
    <row r="108" spans="1:14" x14ac:dyDescent="0.2">
      <c r="A108" s="3" t="s">
        <v>48</v>
      </c>
      <c r="B108" s="1">
        <v>-24</v>
      </c>
      <c r="C108" s="15">
        <v>-18</v>
      </c>
      <c r="D108" s="15"/>
      <c r="E108" s="15"/>
      <c r="F108" s="6"/>
      <c r="G108" s="15">
        <f t="shared" si="23"/>
        <v>6</v>
      </c>
      <c r="H108" s="15"/>
      <c r="I108" s="15"/>
      <c r="J108" s="6"/>
      <c r="K108" s="13">
        <f t="shared" si="24"/>
        <v>-0.25</v>
      </c>
      <c r="L108" s="13"/>
      <c r="M108" s="13"/>
      <c r="N108" s="6"/>
    </row>
    <row r="109" spans="1:14" x14ac:dyDescent="0.2">
      <c r="A109" s="3" t="s">
        <v>49</v>
      </c>
      <c r="B109" s="1">
        <v>19</v>
      </c>
      <c r="C109" s="15">
        <v>30</v>
      </c>
      <c r="D109" s="15"/>
      <c r="E109" s="15"/>
      <c r="F109" s="6"/>
      <c r="G109" s="15">
        <f t="shared" si="23"/>
        <v>11</v>
      </c>
      <c r="H109" s="15"/>
      <c r="I109" s="15"/>
      <c r="J109" s="6"/>
      <c r="K109" s="13">
        <f t="shared" si="24"/>
        <v>0.57894736842105265</v>
      </c>
      <c r="L109" s="13"/>
      <c r="M109" s="13"/>
      <c r="N109" s="6"/>
    </row>
    <row r="110" spans="1:14" x14ac:dyDescent="0.2">
      <c r="A110" s="3" t="s">
        <v>50</v>
      </c>
      <c r="B110" s="1">
        <v>7.7711810000000003</v>
      </c>
      <c r="C110" s="15">
        <v>7.7824309999999999</v>
      </c>
      <c r="D110" s="15"/>
      <c r="E110" s="15"/>
      <c r="F110" s="6"/>
      <c r="G110" s="15">
        <f t="shared" si="23"/>
        <v>1.1249999999999538E-2</v>
      </c>
      <c r="H110" s="15"/>
      <c r="I110" s="15"/>
      <c r="J110" s="6"/>
      <c r="K110" s="13">
        <f t="shared" si="24"/>
        <v>1.4476564115543749E-3</v>
      </c>
      <c r="L110" s="13"/>
      <c r="M110" s="13"/>
      <c r="N110" s="6"/>
    </row>
    <row r="111" spans="1:14" x14ac:dyDescent="0.2">
      <c r="A111" s="3" t="s">
        <v>51</v>
      </c>
      <c r="B111" s="1">
        <v>8</v>
      </c>
      <c r="C111" s="15">
        <v>8</v>
      </c>
      <c r="D111" s="15"/>
      <c r="E111" s="15"/>
      <c r="F111" s="6"/>
      <c r="G111" s="15">
        <f t="shared" si="23"/>
        <v>0</v>
      </c>
      <c r="H111" s="15"/>
      <c r="I111" s="15"/>
      <c r="J111" s="6"/>
      <c r="K111" s="13">
        <f t="shared" si="24"/>
        <v>0</v>
      </c>
      <c r="L111" s="13"/>
      <c r="M111" s="13"/>
      <c r="N111" s="6"/>
    </row>
    <row r="112" spans="1:14" x14ac:dyDescent="0.2">
      <c r="A112" s="3" t="s">
        <v>52</v>
      </c>
      <c r="B112" s="1">
        <v>8</v>
      </c>
      <c r="C112" s="15">
        <v>8</v>
      </c>
      <c r="D112" s="15"/>
      <c r="E112" s="15"/>
      <c r="F112" s="6"/>
      <c r="G112" s="15">
        <f t="shared" si="23"/>
        <v>0</v>
      </c>
      <c r="H112" s="15"/>
      <c r="I112" s="15"/>
      <c r="J112" s="6"/>
      <c r="K112" s="13">
        <f t="shared" si="24"/>
        <v>0</v>
      </c>
      <c r="L112" s="13"/>
      <c r="M112" s="13"/>
      <c r="N112" s="6"/>
    </row>
    <row r="113" spans="1:14" x14ac:dyDescent="0.2">
      <c r="A113" s="3" t="s">
        <v>53</v>
      </c>
      <c r="B113" s="1">
        <v>3</v>
      </c>
      <c r="C113" s="15">
        <v>4</v>
      </c>
      <c r="D113" s="15"/>
      <c r="E113" s="15"/>
      <c r="F113" s="6"/>
      <c r="G113" s="15">
        <f t="shared" si="23"/>
        <v>1</v>
      </c>
      <c r="H113" s="15"/>
      <c r="I113" s="15"/>
      <c r="J113" s="6"/>
      <c r="K113" s="13">
        <f t="shared" si="24"/>
        <v>0.33333333333333331</v>
      </c>
      <c r="L113" s="13"/>
      <c r="M113" s="13"/>
      <c r="N113" s="6"/>
    </row>
    <row r="114" spans="1:14" x14ac:dyDescent="0.2">
      <c r="A114" s="3" t="s">
        <v>54</v>
      </c>
      <c r="B114" s="1">
        <v>12171</v>
      </c>
      <c r="C114" s="15">
        <v>12216</v>
      </c>
      <c r="D114" s="15"/>
      <c r="E114" s="15"/>
      <c r="F114" s="6"/>
      <c r="G114" s="15">
        <f t="shared" si="23"/>
        <v>45</v>
      </c>
      <c r="H114" s="15"/>
      <c r="I114" s="15"/>
      <c r="J114" s="6"/>
      <c r="K114" s="13">
        <f t="shared" si="24"/>
        <v>3.6973132856790731E-3</v>
      </c>
      <c r="L114" s="13"/>
      <c r="M114" s="13"/>
      <c r="N114" s="6"/>
    </row>
    <row r="115" spans="1:14" x14ac:dyDescent="0.2">
      <c r="A115" s="3" t="s">
        <v>55</v>
      </c>
      <c r="B115" s="5">
        <v>0.84520832999999995</v>
      </c>
      <c r="C115" s="13">
        <v>0.84833333</v>
      </c>
      <c r="D115" s="13"/>
      <c r="E115" s="13"/>
      <c r="F115" s="6"/>
      <c r="G115" s="15">
        <f t="shared" si="23"/>
        <v>3.1250000000000444E-3</v>
      </c>
      <c r="H115" s="15"/>
      <c r="I115" s="15"/>
      <c r="J115" s="6"/>
      <c r="K115" s="13">
        <f t="shared" si="24"/>
        <v>3.6973133002605931E-3</v>
      </c>
      <c r="L115" s="13"/>
      <c r="M115" s="13"/>
      <c r="N115" s="6"/>
    </row>
    <row r="116" spans="1:14" x14ac:dyDescent="0.2">
      <c r="A116" s="7"/>
      <c r="B116" s="8"/>
      <c r="C116" s="8"/>
      <c r="D116" s="12"/>
      <c r="E116" s="8"/>
      <c r="F116" s="6"/>
      <c r="G116" s="8"/>
      <c r="H116" s="8"/>
      <c r="I116" s="8"/>
      <c r="J116" s="6"/>
      <c r="K116" s="8"/>
      <c r="L116" s="8"/>
      <c r="M116" s="8"/>
      <c r="N116" s="6"/>
    </row>
    <row r="117" spans="1:14" x14ac:dyDescent="0.2">
      <c r="A117" s="3" t="s">
        <v>72</v>
      </c>
      <c r="B117" s="15" t="s">
        <v>77</v>
      </c>
      <c r="C117" s="15"/>
      <c r="D117" s="15"/>
      <c r="E117" s="15"/>
      <c r="F117" s="6"/>
      <c r="G117" s="15" t="s">
        <v>74</v>
      </c>
      <c r="H117" s="15"/>
      <c r="I117" s="15"/>
      <c r="J117" s="6"/>
      <c r="K117" s="15" t="s">
        <v>74</v>
      </c>
      <c r="L117" s="15"/>
      <c r="M117" s="15"/>
      <c r="N117" s="6"/>
    </row>
    <row r="118" spans="1:14" x14ac:dyDescent="0.2">
      <c r="A118" s="3" t="s">
        <v>32</v>
      </c>
      <c r="B118" s="1">
        <f>AVERAGE(B62,B34,B90)</f>
        <v>0.37916666666666665</v>
      </c>
      <c r="C118" s="15">
        <f t="shared" ref="C118:C127" si="25">AVERAGE(C62,C34,C90)</f>
        <v>1.5512266666666665</v>
      </c>
      <c r="D118" s="15"/>
      <c r="E118" s="15"/>
      <c r="F118" s="6"/>
      <c r="G118" s="15">
        <f t="shared" ref="G118:G129" si="26">C118-B118</f>
        <v>1.1720599999999999</v>
      </c>
      <c r="H118" s="15"/>
      <c r="I118" s="15"/>
      <c r="J118" s="6"/>
      <c r="K118" s="13">
        <f>G118/B118</f>
        <v>3.0911472527472528</v>
      </c>
      <c r="L118" s="13"/>
      <c r="M118" s="13"/>
      <c r="N118" s="6"/>
    </row>
    <row r="119" spans="1:14" x14ac:dyDescent="0.2">
      <c r="A119" s="3" t="s">
        <v>33</v>
      </c>
      <c r="B119" s="1">
        <f t="shared" ref="B119:B128" si="27">AVERAGE(B63,B35,B91)</f>
        <v>0.29754666666666663</v>
      </c>
      <c r="C119" s="15">
        <f t="shared" si="25"/>
        <v>0.79122666666666663</v>
      </c>
      <c r="D119" s="15"/>
      <c r="E119" s="15"/>
      <c r="F119" s="6"/>
      <c r="G119" s="15">
        <f t="shared" si="26"/>
        <v>0.49368000000000001</v>
      </c>
      <c r="H119" s="15"/>
      <c r="I119" s="15"/>
      <c r="J119" s="6"/>
      <c r="K119" s="13">
        <f t="shared" ref="K119" si="28">G119/B119</f>
        <v>1.6591683097329273</v>
      </c>
      <c r="L119" s="13"/>
      <c r="M119" s="13"/>
      <c r="N119" s="6"/>
    </row>
    <row r="120" spans="1:14" x14ac:dyDescent="0.2">
      <c r="A120" s="3" t="s">
        <v>34</v>
      </c>
      <c r="B120" s="1">
        <f t="shared" si="27"/>
        <v>0</v>
      </c>
      <c r="C120" s="15">
        <f t="shared" si="25"/>
        <v>0.66666666666666663</v>
      </c>
      <c r="D120" s="15"/>
      <c r="E120" s="15"/>
      <c r="F120" s="6"/>
      <c r="G120" s="15">
        <f t="shared" si="26"/>
        <v>0.66666666666666663</v>
      </c>
      <c r="H120" s="15"/>
      <c r="I120" s="15"/>
      <c r="J120" s="6"/>
      <c r="K120" s="13" t="s">
        <v>56</v>
      </c>
      <c r="L120" s="13"/>
      <c r="M120" s="13"/>
      <c r="N120" s="6"/>
    </row>
    <row r="121" spans="1:14" x14ac:dyDescent="0.2">
      <c r="A121" s="3" t="s">
        <v>35</v>
      </c>
      <c r="B121" s="1">
        <f t="shared" si="27"/>
        <v>0</v>
      </c>
      <c r="C121" s="15">
        <f t="shared" si="25"/>
        <v>0.66666666666666663</v>
      </c>
      <c r="D121" s="15"/>
      <c r="E121" s="15"/>
      <c r="F121" s="6"/>
      <c r="G121" s="15">
        <f t="shared" si="26"/>
        <v>0.66666666666666663</v>
      </c>
      <c r="H121" s="15"/>
      <c r="I121" s="15"/>
      <c r="J121" s="6"/>
      <c r="K121" s="13" t="s">
        <v>56</v>
      </c>
      <c r="L121" s="13"/>
      <c r="M121" s="13"/>
      <c r="N121" s="6"/>
    </row>
    <row r="122" spans="1:14" x14ac:dyDescent="0.2">
      <c r="A122" s="3" t="s">
        <v>36</v>
      </c>
      <c r="B122" s="1">
        <f t="shared" si="27"/>
        <v>-3.3333333333333335</v>
      </c>
      <c r="C122" s="15">
        <f t="shared" si="25"/>
        <v>-1</v>
      </c>
      <c r="D122" s="15"/>
      <c r="E122" s="15"/>
      <c r="F122" s="6"/>
      <c r="G122" s="15">
        <f t="shared" si="26"/>
        <v>2.3333333333333335</v>
      </c>
      <c r="H122" s="15"/>
      <c r="I122" s="15"/>
      <c r="J122" s="6"/>
      <c r="K122" s="13">
        <f t="shared" ref="K122:K129" si="29">G122/B122</f>
        <v>-0.70000000000000007</v>
      </c>
      <c r="L122" s="13"/>
      <c r="M122" s="13"/>
      <c r="N122" s="6"/>
    </row>
    <row r="123" spans="1:14" x14ac:dyDescent="0.2">
      <c r="A123" s="3" t="s">
        <v>37</v>
      </c>
      <c r="B123" s="1">
        <f t="shared" si="27"/>
        <v>2</v>
      </c>
      <c r="C123" s="15">
        <f t="shared" si="25"/>
        <v>6</v>
      </c>
      <c r="D123" s="15"/>
      <c r="E123" s="15"/>
      <c r="F123" s="6"/>
      <c r="G123" s="15">
        <f t="shared" si="26"/>
        <v>4</v>
      </c>
      <c r="H123" s="15"/>
      <c r="I123" s="15"/>
      <c r="J123" s="6"/>
      <c r="K123" s="13">
        <f t="shared" si="29"/>
        <v>2</v>
      </c>
      <c r="L123" s="13"/>
      <c r="M123" s="13"/>
      <c r="N123" s="6"/>
    </row>
    <row r="124" spans="1:14" x14ac:dyDescent="0.2">
      <c r="A124" s="3" t="s">
        <v>38</v>
      </c>
      <c r="B124" s="1">
        <f t="shared" si="27"/>
        <v>7.6705093333333325</v>
      </c>
      <c r="C124" s="15">
        <f t="shared" si="25"/>
        <v>7.2476160000000007</v>
      </c>
      <c r="D124" s="15"/>
      <c r="E124" s="15"/>
      <c r="F124" s="6"/>
      <c r="G124" s="15">
        <f t="shared" si="26"/>
        <v>-0.42289333333333179</v>
      </c>
      <c r="H124" s="15"/>
      <c r="I124" s="15"/>
      <c r="J124" s="6"/>
      <c r="K124" s="13">
        <f t="shared" si="29"/>
        <v>-5.5132366698986503E-2</v>
      </c>
      <c r="L124" s="13"/>
      <c r="M124" s="13"/>
      <c r="N124" s="6"/>
    </row>
    <row r="125" spans="1:14" x14ac:dyDescent="0.2">
      <c r="A125" s="3" t="s">
        <v>39</v>
      </c>
      <c r="B125" s="1">
        <f t="shared" si="27"/>
        <v>8</v>
      </c>
      <c r="C125" s="15">
        <f t="shared" si="25"/>
        <v>7.333333333333333</v>
      </c>
      <c r="D125" s="15"/>
      <c r="E125" s="15"/>
      <c r="F125" s="6"/>
      <c r="G125" s="15">
        <f t="shared" si="26"/>
        <v>-0.66666666666666696</v>
      </c>
      <c r="H125" s="15"/>
      <c r="I125" s="15"/>
      <c r="J125" s="6"/>
      <c r="K125" s="13">
        <f t="shared" si="29"/>
        <v>-8.333333333333337E-2</v>
      </c>
      <c r="L125" s="13"/>
      <c r="M125" s="13"/>
      <c r="N125" s="6"/>
    </row>
    <row r="126" spans="1:14" x14ac:dyDescent="0.2">
      <c r="A126" s="3" t="s">
        <v>40</v>
      </c>
      <c r="B126" s="1">
        <f t="shared" si="27"/>
        <v>8</v>
      </c>
      <c r="C126" s="15">
        <f t="shared" si="25"/>
        <v>8</v>
      </c>
      <c r="D126" s="15"/>
      <c r="E126" s="15"/>
      <c r="F126" s="6"/>
      <c r="G126" s="15">
        <f t="shared" si="26"/>
        <v>0</v>
      </c>
      <c r="H126" s="15"/>
      <c r="I126" s="15"/>
      <c r="J126" s="6"/>
      <c r="K126" s="13">
        <f t="shared" si="29"/>
        <v>0</v>
      </c>
      <c r="L126" s="13"/>
      <c r="M126" s="13"/>
      <c r="N126" s="6"/>
    </row>
    <row r="127" spans="1:14" x14ac:dyDescent="0.2">
      <c r="A127" s="3" t="s">
        <v>41</v>
      </c>
      <c r="B127" s="1">
        <f t="shared" si="27"/>
        <v>5.333333333333333</v>
      </c>
      <c r="C127" s="15">
        <f t="shared" si="25"/>
        <v>4.333333333333333</v>
      </c>
      <c r="D127" s="15"/>
      <c r="E127" s="15"/>
      <c r="F127" s="6"/>
      <c r="G127" s="15">
        <f t="shared" si="26"/>
        <v>-1</v>
      </c>
      <c r="H127" s="15"/>
      <c r="I127" s="15"/>
      <c r="J127" s="6"/>
      <c r="K127" s="13">
        <f t="shared" si="29"/>
        <v>-0.1875</v>
      </c>
      <c r="L127" s="13"/>
      <c r="M127" s="13"/>
      <c r="N127" s="6"/>
    </row>
    <row r="128" spans="1:14" x14ac:dyDescent="0.2">
      <c r="A128" s="3" t="s">
        <v>42</v>
      </c>
      <c r="B128" s="1">
        <f t="shared" si="27"/>
        <v>10646</v>
      </c>
      <c r="C128" s="15">
        <f>AVERAGE(C72,C44,C100)</f>
        <v>6809.333333333333</v>
      </c>
      <c r="D128" s="15"/>
      <c r="E128" s="15"/>
      <c r="F128" s="6"/>
      <c r="G128" s="15">
        <f t="shared" si="26"/>
        <v>-3836.666666666667</v>
      </c>
      <c r="H128" s="15"/>
      <c r="I128" s="15"/>
      <c r="J128" s="6"/>
      <c r="K128" s="13">
        <f t="shared" si="29"/>
        <v>-0.36038574738555956</v>
      </c>
      <c r="L128" s="13"/>
      <c r="M128" s="13"/>
      <c r="N128" s="6"/>
    </row>
    <row r="129" spans="1:14" x14ac:dyDescent="0.2">
      <c r="A129" s="3" t="s">
        <v>43</v>
      </c>
      <c r="B129" s="5">
        <f>AVERAGE(B73,B45,B101)</f>
        <v>0.73930555333333337</v>
      </c>
      <c r="C129" s="18">
        <f t="shared" ref="C129" si="30">AVERAGE(C73,C45,C101)</f>
        <v>0.47287037000000004</v>
      </c>
      <c r="D129" s="15"/>
      <c r="E129" s="15"/>
      <c r="F129" s="6"/>
      <c r="G129" s="15">
        <f t="shared" si="26"/>
        <v>-0.26643518333333333</v>
      </c>
      <c r="H129" s="15"/>
      <c r="I129" s="15"/>
      <c r="J129" s="6"/>
      <c r="K129" s="13">
        <f t="shared" si="29"/>
        <v>-0.36038574596396239</v>
      </c>
      <c r="L129" s="13"/>
      <c r="M129" s="13"/>
      <c r="N129" s="6"/>
    </row>
    <row r="130" spans="1:14" x14ac:dyDescent="0.2">
      <c r="A130" s="7"/>
      <c r="B130" s="8"/>
      <c r="C130" s="8"/>
      <c r="D130" s="12"/>
      <c r="E130" s="8"/>
      <c r="F130" s="6"/>
      <c r="G130" s="8"/>
      <c r="H130" s="8"/>
      <c r="I130" s="8"/>
      <c r="J130" s="6"/>
      <c r="K130" s="8"/>
      <c r="L130" s="8"/>
      <c r="M130" s="8"/>
      <c r="N130" s="6"/>
    </row>
    <row r="131" spans="1:14" x14ac:dyDescent="0.2">
      <c r="A131" s="3" t="s">
        <v>72</v>
      </c>
      <c r="B131" s="15" t="s">
        <v>77</v>
      </c>
      <c r="C131" s="15"/>
      <c r="D131" s="15"/>
      <c r="E131" s="15"/>
      <c r="F131" s="6"/>
      <c r="G131" s="15" t="s">
        <v>74</v>
      </c>
      <c r="H131" s="15"/>
      <c r="I131" s="15"/>
      <c r="J131" s="6"/>
      <c r="K131" s="15" t="s">
        <v>74</v>
      </c>
      <c r="L131" s="15"/>
      <c r="M131" s="15"/>
      <c r="N131" s="6"/>
    </row>
    <row r="132" spans="1:14" x14ac:dyDescent="0.2">
      <c r="A132" s="3" t="s">
        <v>44</v>
      </c>
      <c r="B132" s="1">
        <f>AVERAGE(B76,B48,B104)</f>
        <v>1.8793516666666668</v>
      </c>
      <c r="C132" s="15">
        <f>AVERAGE(C76,C48,C104)</f>
        <v>1.6506253333333334</v>
      </c>
      <c r="D132" s="15"/>
      <c r="E132" s="15"/>
      <c r="F132" s="6"/>
      <c r="G132" s="15">
        <f t="shared" ref="G132:G143" si="31">C132-B132</f>
        <v>-0.22872633333333336</v>
      </c>
      <c r="H132" s="15"/>
      <c r="I132" s="15"/>
      <c r="J132" s="6"/>
      <c r="K132" s="13">
        <f>G132/B132</f>
        <v>-0.12170491419470013</v>
      </c>
      <c r="L132" s="13"/>
      <c r="M132" s="13"/>
      <c r="N132" s="6"/>
    </row>
    <row r="133" spans="1:14" x14ac:dyDescent="0.2">
      <c r="A133" s="3" t="s">
        <v>45</v>
      </c>
      <c r="B133" s="1">
        <f t="shared" ref="B133:B142" si="32">AVERAGE(B77,B49,B105)</f>
        <v>0.76115733333333324</v>
      </c>
      <c r="C133" s="15">
        <f t="shared" ref="C133:C143" si="33">AVERAGE(C77,C49,C105)</f>
        <v>0.72229200000000005</v>
      </c>
      <c r="D133" s="15"/>
      <c r="E133" s="15"/>
      <c r="F133" s="6"/>
      <c r="G133" s="15">
        <f t="shared" si="31"/>
        <v>-3.8865333333333196E-2</v>
      </c>
      <c r="H133" s="15"/>
      <c r="I133" s="15"/>
      <c r="J133" s="6"/>
      <c r="K133" s="13">
        <f t="shared" ref="K133:K143" si="34">G133/B133</f>
        <v>-5.1060840684711527E-2</v>
      </c>
      <c r="L133" s="13"/>
      <c r="M133" s="13"/>
      <c r="N133" s="6"/>
    </row>
    <row r="134" spans="1:14" x14ac:dyDescent="0.2">
      <c r="A134" s="3" t="s">
        <v>46</v>
      </c>
      <c r="B134" s="1">
        <f t="shared" si="32"/>
        <v>0.66666666666666663</v>
      </c>
      <c r="C134" s="15">
        <f t="shared" si="33"/>
        <v>0.66666666666666663</v>
      </c>
      <c r="D134" s="15"/>
      <c r="E134" s="15"/>
      <c r="F134" s="6"/>
      <c r="G134" s="15">
        <f t="shared" si="31"/>
        <v>0</v>
      </c>
      <c r="H134" s="15"/>
      <c r="I134" s="15"/>
      <c r="J134" s="6"/>
      <c r="K134" s="13">
        <f t="shared" si="34"/>
        <v>0</v>
      </c>
      <c r="L134" s="13"/>
      <c r="M134" s="13"/>
      <c r="N134" s="6"/>
    </row>
    <row r="135" spans="1:14" x14ac:dyDescent="0.2">
      <c r="A135" s="3" t="s">
        <v>47</v>
      </c>
      <c r="B135" s="1">
        <f t="shared" si="32"/>
        <v>-0.66666666666666663</v>
      </c>
      <c r="C135" s="15">
        <f t="shared" si="33"/>
        <v>-0.66666666666666663</v>
      </c>
      <c r="D135" s="15"/>
      <c r="E135" s="15"/>
      <c r="F135" s="6"/>
      <c r="G135" s="15">
        <f t="shared" si="31"/>
        <v>0</v>
      </c>
      <c r="H135" s="15"/>
      <c r="I135" s="15"/>
      <c r="J135" s="6"/>
      <c r="K135" s="13">
        <f t="shared" si="34"/>
        <v>0</v>
      </c>
      <c r="L135" s="13"/>
      <c r="M135" s="13"/>
      <c r="N135" s="6"/>
    </row>
    <row r="136" spans="1:14" x14ac:dyDescent="0.2">
      <c r="A136" s="3" t="s">
        <v>48</v>
      </c>
      <c r="B136" s="1">
        <f t="shared" si="32"/>
        <v>-9.6666666666666661</v>
      </c>
      <c r="C136" s="15">
        <f t="shared" si="33"/>
        <v>-7.666666666666667</v>
      </c>
      <c r="D136" s="15"/>
      <c r="E136" s="15"/>
      <c r="F136" s="6"/>
      <c r="G136" s="15">
        <f t="shared" si="31"/>
        <v>1.9999999999999991</v>
      </c>
      <c r="H136" s="15"/>
      <c r="I136" s="15"/>
      <c r="J136" s="6"/>
      <c r="K136" s="13">
        <f t="shared" si="34"/>
        <v>-0.20689655172413784</v>
      </c>
      <c r="L136" s="13"/>
      <c r="M136" s="13"/>
      <c r="N136" s="6"/>
    </row>
    <row r="137" spans="1:14" x14ac:dyDescent="0.2">
      <c r="A137" s="3" t="s">
        <v>49</v>
      </c>
      <c r="B137" s="1">
        <f t="shared" si="32"/>
        <v>23</v>
      </c>
      <c r="C137" s="15">
        <f t="shared" si="33"/>
        <v>13.333333333333334</v>
      </c>
      <c r="D137" s="15"/>
      <c r="E137" s="15"/>
      <c r="F137" s="6"/>
      <c r="G137" s="15">
        <f t="shared" si="31"/>
        <v>-9.6666666666666661</v>
      </c>
      <c r="H137" s="15"/>
      <c r="I137" s="15"/>
      <c r="J137" s="6"/>
      <c r="K137" s="13">
        <f t="shared" si="34"/>
        <v>-0.42028985507246375</v>
      </c>
      <c r="L137" s="13"/>
      <c r="M137" s="13"/>
      <c r="N137" s="6"/>
    </row>
    <row r="138" spans="1:14" x14ac:dyDescent="0.2">
      <c r="A138" s="3" t="s">
        <v>50</v>
      </c>
      <c r="B138" s="1">
        <f t="shared" si="32"/>
        <v>7.5278706666666677</v>
      </c>
      <c r="C138" s="15">
        <f t="shared" si="33"/>
        <v>7.5393983333333336</v>
      </c>
      <c r="D138" s="15"/>
      <c r="E138" s="15"/>
      <c r="F138" s="6"/>
      <c r="G138" s="15">
        <f t="shared" si="31"/>
        <v>1.1527666666665937E-2</v>
      </c>
      <c r="H138" s="15"/>
      <c r="I138" s="15"/>
      <c r="J138" s="6"/>
      <c r="K138" s="13">
        <f t="shared" si="34"/>
        <v>1.5313316576638762E-3</v>
      </c>
      <c r="L138" s="13"/>
      <c r="M138" s="13"/>
      <c r="N138" s="6"/>
    </row>
    <row r="139" spans="1:14" x14ac:dyDescent="0.2">
      <c r="A139" s="3" t="s">
        <v>51</v>
      </c>
      <c r="B139" s="1">
        <f t="shared" si="32"/>
        <v>7.666666666666667</v>
      </c>
      <c r="C139" s="15">
        <f t="shared" si="33"/>
        <v>7.666666666666667</v>
      </c>
      <c r="D139" s="15"/>
      <c r="E139" s="15"/>
      <c r="F139" s="6"/>
      <c r="G139" s="15">
        <f t="shared" si="31"/>
        <v>0</v>
      </c>
      <c r="H139" s="15"/>
      <c r="I139" s="15"/>
      <c r="J139" s="6"/>
      <c r="K139" s="13">
        <f t="shared" si="34"/>
        <v>0</v>
      </c>
      <c r="L139" s="13"/>
      <c r="M139" s="13"/>
      <c r="N139" s="6"/>
    </row>
    <row r="140" spans="1:14" x14ac:dyDescent="0.2">
      <c r="A140" s="3" t="s">
        <v>52</v>
      </c>
      <c r="B140" s="1">
        <f t="shared" si="32"/>
        <v>8</v>
      </c>
      <c r="C140" s="15">
        <f t="shared" si="33"/>
        <v>8</v>
      </c>
      <c r="D140" s="15"/>
      <c r="E140" s="15"/>
      <c r="F140" s="6"/>
      <c r="G140" s="15">
        <f t="shared" si="31"/>
        <v>0</v>
      </c>
      <c r="H140" s="15"/>
      <c r="I140" s="15"/>
      <c r="J140" s="6"/>
      <c r="K140" s="13">
        <f t="shared" si="34"/>
        <v>0</v>
      </c>
      <c r="L140" s="13"/>
      <c r="M140" s="13"/>
      <c r="N140" s="6"/>
    </row>
    <row r="141" spans="1:14" x14ac:dyDescent="0.2">
      <c r="A141" s="3" t="s">
        <v>53</v>
      </c>
      <c r="B141" s="1">
        <f t="shared" si="32"/>
        <v>3.6666666666666665</v>
      </c>
      <c r="C141" s="15">
        <f t="shared" si="33"/>
        <v>4.666666666666667</v>
      </c>
      <c r="D141" s="15"/>
      <c r="E141" s="15"/>
      <c r="F141" s="6"/>
      <c r="G141" s="15">
        <f t="shared" si="31"/>
        <v>1.0000000000000004</v>
      </c>
      <c r="H141" s="15"/>
      <c r="I141" s="15"/>
      <c r="J141" s="6"/>
      <c r="K141" s="13">
        <f t="shared" si="34"/>
        <v>0.27272727272727287</v>
      </c>
      <c r="L141" s="13"/>
      <c r="M141" s="13"/>
      <c r="N141" s="6"/>
    </row>
    <row r="142" spans="1:14" x14ac:dyDescent="0.2">
      <c r="A142" s="3" t="s">
        <v>54</v>
      </c>
      <c r="B142" s="1">
        <f t="shared" si="32"/>
        <v>8907</v>
      </c>
      <c r="C142" s="15">
        <f t="shared" si="33"/>
        <v>8952</v>
      </c>
      <c r="D142" s="15"/>
      <c r="E142" s="15"/>
      <c r="F142" s="6"/>
      <c r="G142" s="15">
        <f t="shared" si="31"/>
        <v>45</v>
      </c>
      <c r="H142" s="15"/>
      <c r="I142" s="15"/>
      <c r="J142" s="6"/>
      <c r="K142" s="13">
        <f t="shared" si="34"/>
        <v>5.0522061300101043E-3</v>
      </c>
      <c r="L142" s="13"/>
      <c r="M142" s="13"/>
      <c r="N142" s="6"/>
    </row>
    <row r="143" spans="1:14" x14ac:dyDescent="0.2">
      <c r="A143" s="3" t="s">
        <v>55</v>
      </c>
      <c r="B143" s="5">
        <f>AVERAGE(B87,B59,B115)</f>
        <v>0.61854166666666666</v>
      </c>
      <c r="C143" s="18">
        <f t="shared" si="33"/>
        <v>0.62168333666666664</v>
      </c>
      <c r="D143" s="15"/>
      <c r="E143" s="15"/>
      <c r="F143" s="6"/>
      <c r="G143" s="15">
        <f t="shared" si="31"/>
        <v>3.1416699999999853E-3</v>
      </c>
      <c r="H143" s="15"/>
      <c r="I143" s="15"/>
      <c r="J143" s="6"/>
      <c r="K143" s="13">
        <f t="shared" si="34"/>
        <v>5.0791566183900063E-3</v>
      </c>
      <c r="L143" s="13"/>
      <c r="M143" s="13"/>
      <c r="N143" s="6"/>
    </row>
    <row r="144" spans="1:14" x14ac:dyDescent="0.2">
      <c r="A144" s="7"/>
      <c r="B144" s="8"/>
      <c r="C144" s="8"/>
      <c r="D144" s="12"/>
      <c r="E144" s="8"/>
      <c r="F144" s="6"/>
      <c r="G144" s="8"/>
      <c r="H144" s="8"/>
      <c r="I144" s="8"/>
      <c r="J144" s="6"/>
      <c r="K144" s="8"/>
      <c r="L144" s="8"/>
      <c r="M144" s="8"/>
      <c r="N144" s="6"/>
    </row>
    <row r="145" spans="1:14" x14ac:dyDescent="0.2">
      <c r="A145" s="3" t="s">
        <v>69</v>
      </c>
      <c r="B145" s="15" t="s">
        <v>68</v>
      </c>
      <c r="C145" s="15"/>
      <c r="D145" s="15"/>
      <c r="E145" s="15"/>
      <c r="F145" s="6"/>
      <c r="G145" s="15">
        <v>0</v>
      </c>
      <c r="H145" s="15"/>
      <c r="I145" s="15"/>
      <c r="J145" s="6"/>
      <c r="K145" s="17">
        <v>0</v>
      </c>
      <c r="L145" s="17"/>
      <c r="M145" s="17"/>
      <c r="N145" s="6"/>
    </row>
    <row r="146" spans="1:14" x14ac:dyDescent="0.2">
      <c r="A146" s="3" t="s">
        <v>61</v>
      </c>
      <c r="B146" s="15">
        <v>1</v>
      </c>
      <c r="C146" s="15"/>
      <c r="D146" s="15"/>
      <c r="E146" s="15"/>
      <c r="F146" s="6"/>
      <c r="G146" s="15">
        <v>0</v>
      </c>
      <c r="H146" s="15"/>
      <c r="I146" s="15"/>
      <c r="J146" s="6"/>
      <c r="K146" s="13">
        <f>G146/B146</f>
        <v>0</v>
      </c>
      <c r="L146" s="13"/>
      <c r="M146" s="13"/>
      <c r="N146" s="6"/>
    </row>
    <row r="147" spans="1:14" x14ac:dyDescent="0.2">
      <c r="A147" s="3" t="s">
        <v>62</v>
      </c>
      <c r="B147" s="15">
        <v>278529</v>
      </c>
      <c r="C147" s="15"/>
      <c r="D147" s="15"/>
      <c r="E147" s="15"/>
      <c r="F147" s="6"/>
      <c r="G147" s="15">
        <v>0</v>
      </c>
      <c r="H147" s="15"/>
      <c r="I147" s="15"/>
      <c r="J147" s="6"/>
      <c r="K147" s="13">
        <f>G147/B147</f>
        <v>0</v>
      </c>
      <c r="L147" s="13"/>
      <c r="M147" s="13"/>
      <c r="N147" s="6"/>
    </row>
    <row r="148" spans="1:14" x14ac:dyDescent="0.2">
      <c r="A148" s="3" t="s">
        <v>59</v>
      </c>
      <c r="B148" s="15">
        <v>279694</v>
      </c>
      <c r="C148" s="15"/>
      <c r="D148" s="15"/>
      <c r="E148" s="15"/>
      <c r="F148" s="6"/>
      <c r="G148" s="15">
        <v>0</v>
      </c>
      <c r="H148" s="15"/>
      <c r="I148" s="15"/>
      <c r="J148" s="6"/>
      <c r="K148" s="13">
        <f>G148/B148</f>
        <v>0</v>
      </c>
      <c r="L148" s="13"/>
      <c r="M148" s="13"/>
      <c r="N148" s="6"/>
    </row>
    <row r="149" spans="1:14" x14ac:dyDescent="0.2">
      <c r="A149" s="3" t="s">
        <v>60</v>
      </c>
      <c r="B149" s="15">
        <v>295045</v>
      </c>
      <c r="C149" s="15"/>
      <c r="D149" s="15"/>
      <c r="E149" s="15"/>
      <c r="F149" s="6"/>
      <c r="G149" s="15">
        <v>0</v>
      </c>
      <c r="H149" s="15"/>
      <c r="I149" s="15"/>
      <c r="J149" s="6"/>
      <c r="K149" s="13">
        <f>G149/B149</f>
        <v>0</v>
      </c>
      <c r="L149" s="13"/>
      <c r="M149" s="13"/>
      <c r="N149" s="6"/>
    </row>
    <row r="150" spans="1:14" x14ac:dyDescent="0.2">
      <c r="A150" s="3" t="s">
        <v>63</v>
      </c>
      <c r="B150" s="15">
        <f>B149-B146</f>
        <v>295044</v>
      </c>
      <c r="C150" s="15"/>
      <c r="D150" s="15"/>
      <c r="E150" s="15"/>
      <c r="F150" s="6"/>
      <c r="G150" s="15">
        <v>0</v>
      </c>
      <c r="H150" s="15"/>
      <c r="I150" s="15"/>
      <c r="J150" s="6"/>
      <c r="K150" s="13">
        <f>G150/B150</f>
        <v>0</v>
      </c>
      <c r="L150" s="13"/>
      <c r="M150" s="13"/>
      <c r="N150" s="6"/>
    </row>
    <row r="151" spans="1:14" x14ac:dyDescent="0.2">
      <c r="A151" s="3" t="s">
        <v>65</v>
      </c>
      <c r="B151" s="15">
        <f>B150/(B3*10^3)</f>
        <v>3.6880500000000001</v>
      </c>
      <c r="C151" s="15"/>
      <c r="D151" s="15"/>
      <c r="E151" s="1">
        <f>B150/(E3*10^3)</f>
        <v>1.47522</v>
      </c>
      <c r="F151" s="6"/>
      <c r="G151" s="15">
        <v>0</v>
      </c>
      <c r="H151" s="15"/>
      <c r="I151" s="1">
        <f>E151-B151</f>
        <v>-2.2128300000000003</v>
      </c>
      <c r="J151" s="6"/>
      <c r="K151" s="13">
        <v>0</v>
      </c>
      <c r="L151" s="13"/>
      <c r="M151" s="5">
        <f>I151/B151</f>
        <v>-0.60000000000000009</v>
      </c>
      <c r="N151" s="6"/>
    </row>
    <row r="152" spans="1:14" x14ac:dyDescent="0.2">
      <c r="A152" s="3" t="s">
        <v>64</v>
      </c>
      <c r="B152" s="15">
        <f>B149-B147</f>
        <v>16516</v>
      </c>
      <c r="C152" s="15"/>
      <c r="D152" s="15"/>
      <c r="E152" s="15"/>
      <c r="F152" s="6"/>
      <c r="G152" s="15">
        <v>0</v>
      </c>
      <c r="H152" s="15"/>
      <c r="I152" s="15"/>
      <c r="J152" s="6"/>
      <c r="K152" s="13">
        <f>G152/B152</f>
        <v>0</v>
      </c>
      <c r="L152" s="13"/>
      <c r="M152" s="13"/>
      <c r="N152" s="6"/>
    </row>
    <row r="153" spans="1:14" x14ac:dyDescent="0.2">
      <c r="A153" s="3" t="s">
        <v>66</v>
      </c>
      <c r="B153" s="15">
        <f>B152/B3</f>
        <v>206.45</v>
      </c>
      <c r="C153" s="15"/>
      <c r="D153" s="15"/>
      <c r="E153" s="1">
        <f>B152/E3</f>
        <v>82.58</v>
      </c>
      <c r="F153" s="6"/>
      <c r="G153" s="15">
        <v>0</v>
      </c>
      <c r="H153" s="15"/>
      <c r="I153" s="1">
        <f>E153-B153</f>
        <v>-123.86999999999999</v>
      </c>
      <c r="J153" s="6"/>
      <c r="K153" s="13">
        <v>0</v>
      </c>
      <c r="L153" s="13"/>
      <c r="M153" s="5">
        <f>I153/B153</f>
        <v>-0.6</v>
      </c>
      <c r="N153" s="6"/>
    </row>
    <row r="154" spans="1:14" x14ac:dyDescent="0.2">
      <c r="A154" s="3" t="s">
        <v>67</v>
      </c>
      <c r="B154" s="1">
        <f>B12*B151</f>
        <v>2938.4169569999999</v>
      </c>
      <c r="C154" s="1">
        <f>C12*B151</f>
        <v>2899.5817905000004</v>
      </c>
      <c r="D154" s="11">
        <f>D12*B151</f>
        <v>2987.4311414999997</v>
      </c>
      <c r="E154" s="1">
        <f t="shared" ref="E154" si="35">E12*E151</f>
        <v>2045.7023262</v>
      </c>
      <c r="F154" s="6"/>
      <c r="G154" s="1">
        <f>C154-B154</f>
        <v>-38.835166499999559</v>
      </c>
      <c r="H154" s="1">
        <f>D154-B154</f>
        <v>49.014184499999828</v>
      </c>
      <c r="I154" s="1">
        <f>E154-B154</f>
        <v>-892.7146307999999</v>
      </c>
      <c r="J154" s="6"/>
      <c r="K154" s="5">
        <f>G154/B154</f>
        <v>-1.3216356653362302E-2</v>
      </c>
      <c r="L154" s="5">
        <f>H154/B154</f>
        <v>1.6680472927178194E-2</v>
      </c>
      <c r="M154" s="5"/>
      <c r="N154" s="6"/>
    </row>
    <row r="155" spans="1:14" x14ac:dyDescent="0.2">
      <c r="A155" s="3" t="s">
        <v>70</v>
      </c>
      <c r="B155" s="15">
        <f>1/(B151/1000)</f>
        <v>271.1459985629262</v>
      </c>
      <c r="C155" s="15"/>
      <c r="D155" s="15"/>
      <c r="E155" s="1">
        <f>1/(E151/1000)</f>
        <v>677.86499640731552</v>
      </c>
      <c r="F155" s="6"/>
      <c r="G155" s="15">
        <v>0</v>
      </c>
      <c r="H155" s="15"/>
      <c r="I155" s="1">
        <f>E155-B155</f>
        <v>406.71899784438932</v>
      </c>
      <c r="J155" s="6"/>
      <c r="K155" s="13">
        <v>0</v>
      </c>
      <c r="L155" s="13"/>
      <c r="M155" s="5">
        <f>I155/B155</f>
        <v>1.5</v>
      </c>
      <c r="N155" s="6"/>
    </row>
    <row r="156" spans="1:14" x14ac:dyDescent="0.2">
      <c r="A156" s="7"/>
      <c r="B156" s="8"/>
      <c r="C156" s="8"/>
      <c r="D156" s="12"/>
      <c r="E156" s="8"/>
      <c r="F156" s="6"/>
      <c r="G156" s="8"/>
      <c r="H156" s="8"/>
      <c r="I156" s="8"/>
      <c r="J156" s="6"/>
      <c r="K156" s="8"/>
      <c r="L156" s="8"/>
      <c r="M156" s="8"/>
      <c r="N156" s="6"/>
    </row>
  </sheetData>
  <mergeCells count="353">
    <mergeCell ref="C86:E86"/>
    <mergeCell ref="G86:I86"/>
    <mergeCell ref="K86:M86"/>
    <mergeCell ref="C87:E87"/>
    <mergeCell ref="G87:I87"/>
    <mergeCell ref="K87:M87"/>
    <mergeCell ref="C83:E83"/>
    <mergeCell ref="G83:I83"/>
    <mergeCell ref="K83:M83"/>
    <mergeCell ref="C84:E84"/>
    <mergeCell ref="G84:I84"/>
    <mergeCell ref="K84:M84"/>
    <mergeCell ref="C85:E85"/>
    <mergeCell ref="G85:I85"/>
    <mergeCell ref="K85:M85"/>
    <mergeCell ref="C80:E80"/>
    <mergeCell ref="G80:I80"/>
    <mergeCell ref="K80:M80"/>
    <mergeCell ref="C81:E81"/>
    <mergeCell ref="G81:I81"/>
    <mergeCell ref="K81:M81"/>
    <mergeCell ref="C82:E82"/>
    <mergeCell ref="G82:I82"/>
    <mergeCell ref="K82:M82"/>
    <mergeCell ref="C77:E77"/>
    <mergeCell ref="G77:I77"/>
    <mergeCell ref="K77:M77"/>
    <mergeCell ref="C78:E78"/>
    <mergeCell ref="G78:I78"/>
    <mergeCell ref="K78:M78"/>
    <mergeCell ref="C79:E79"/>
    <mergeCell ref="G79:I79"/>
    <mergeCell ref="K79:M79"/>
    <mergeCell ref="C73:E73"/>
    <mergeCell ref="G73:I73"/>
    <mergeCell ref="K73:M73"/>
    <mergeCell ref="B75:E75"/>
    <mergeCell ref="G75:I75"/>
    <mergeCell ref="K75:M75"/>
    <mergeCell ref="C76:E76"/>
    <mergeCell ref="G76:I76"/>
    <mergeCell ref="K76:M76"/>
    <mergeCell ref="C70:E70"/>
    <mergeCell ref="G70:I70"/>
    <mergeCell ref="K70:M70"/>
    <mergeCell ref="C71:E71"/>
    <mergeCell ref="G71:I71"/>
    <mergeCell ref="K71:M71"/>
    <mergeCell ref="C72:E72"/>
    <mergeCell ref="G72:I72"/>
    <mergeCell ref="K72:M72"/>
    <mergeCell ref="C67:E67"/>
    <mergeCell ref="G67:I67"/>
    <mergeCell ref="K67:M67"/>
    <mergeCell ref="C68:E68"/>
    <mergeCell ref="G68:I68"/>
    <mergeCell ref="K68:M68"/>
    <mergeCell ref="C69:E69"/>
    <mergeCell ref="G69:I69"/>
    <mergeCell ref="K69:M69"/>
    <mergeCell ref="C114:E114"/>
    <mergeCell ref="G114:I114"/>
    <mergeCell ref="K114:M114"/>
    <mergeCell ref="C115:E115"/>
    <mergeCell ref="G115:I115"/>
    <mergeCell ref="K115:M115"/>
    <mergeCell ref="B61:E61"/>
    <mergeCell ref="G61:I61"/>
    <mergeCell ref="K61:M61"/>
    <mergeCell ref="C62:E62"/>
    <mergeCell ref="G62:I62"/>
    <mergeCell ref="K62:M62"/>
    <mergeCell ref="C63:E63"/>
    <mergeCell ref="G63:I63"/>
    <mergeCell ref="K63:M63"/>
    <mergeCell ref="C64:E64"/>
    <mergeCell ref="G64:I64"/>
    <mergeCell ref="K64:M64"/>
    <mergeCell ref="C65:E65"/>
    <mergeCell ref="G65:I65"/>
    <mergeCell ref="K65:M65"/>
    <mergeCell ref="C66:E66"/>
    <mergeCell ref="G66:I66"/>
    <mergeCell ref="K66:M66"/>
    <mergeCell ref="C111:E111"/>
    <mergeCell ref="G111:I111"/>
    <mergeCell ref="K111:M111"/>
    <mergeCell ref="C112:E112"/>
    <mergeCell ref="G112:I112"/>
    <mergeCell ref="K112:M112"/>
    <mergeCell ref="C113:E113"/>
    <mergeCell ref="G113:I113"/>
    <mergeCell ref="K113:M113"/>
    <mergeCell ref="C108:E108"/>
    <mergeCell ref="G108:I108"/>
    <mergeCell ref="K108:M108"/>
    <mergeCell ref="C109:E109"/>
    <mergeCell ref="G109:I109"/>
    <mergeCell ref="K109:M109"/>
    <mergeCell ref="C110:E110"/>
    <mergeCell ref="G110:I110"/>
    <mergeCell ref="K110:M110"/>
    <mergeCell ref="C105:E105"/>
    <mergeCell ref="G105:I105"/>
    <mergeCell ref="K105:M105"/>
    <mergeCell ref="C106:E106"/>
    <mergeCell ref="G106:I106"/>
    <mergeCell ref="K106:M106"/>
    <mergeCell ref="C107:E107"/>
    <mergeCell ref="G107:I107"/>
    <mergeCell ref="K107:M107"/>
    <mergeCell ref="C101:E101"/>
    <mergeCell ref="G101:I101"/>
    <mergeCell ref="K101:M101"/>
    <mergeCell ref="B103:E103"/>
    <mergeCell ref="G103:I103"/>
    <mergeCell ref="K103:M103"/>
    <mergeCell ref="C104:E104"/>
    <mergeCell ref="G104:I104"/>
    <mergeCell ref="K104:M104"/>
    <mergeCell ref="C98:E98"/>
    <mergeCell ref="G98:I98"/>
    <mergeCell ref="K98:M98"/>
    <mergeCell ref="C99:E99"/>
    <mergeCell ref="G99:I99"/>
    <mergeCell ref="K99:M99"/>
    <mergeCell ref="C100:E100"/>
    <mergeCell ref="G100:I100"/>
    <mergeCell ref="K100:M100"/>
    <mergeCell ref="C95:E95"/>
    <mergeCell ref="G95:I95"/>
    <mergeCell ref="K95:M95"/>
    <mergeCell ref="C96:E96"/>
    <mergeCell ref="G96:I96"/>
    <mergeCell ref="K96:M96"/>
    <mergeCell ref="C97:E97"/>
    <mergeCell ref="G97:I97"/>
    <mergeCell ref="K97:M97"/>
    <mergeCell ref="C92:E92"/>
    <mergeCell ref="G92:I92"/>
    <mergeCell ref="K92:M92"/>
    <mergeCell ref="C93:E93"/>
    <mergeCell ref="G93:I93"/>
    <mergeCell ref="K93:M93"/>
    <mergeCell ref="C94:E94"/>
    <mergeCell ref="G94:I94"/>
    <mergeCell ref="K94:M94"/>
    <mergeCell ref="B89:E89"/>
    <mergeCell ref="G89:I89"/>
    <mergeCell ref="K89:M89"/>
    <mergeCell ref="C90:E90"/>
    <mergeCell ref="G90:I90"/>
    <mergeCell ref="K90:M90"/>
    <mergeCell ref="C91:E91"/>
    <mergeCell ref="G91:I91"/>
    <mergeCell ref="K91:M91"/>
    <mergeCell ref="C141:E141"/>
    <mergeCell ref="G141:I141"/>
    <mergeCell ref="K141:M141"/>
    <mergeCell ref="C142:E142"/>
    <mergeCell ref="G142:I142"/>
    <mergeCell ref="K142:M142"/>
    <mergeCell ref="C143:E143"/>
    <mergeCell ref="G143:I143"/>
    <mergeCell ref="K143:M143"/>
    <mergeCell ref="C138:E138"/>
    <mergeCell ref="G138:I138"/>
    <mergeCell ref="K138:M138"/>
    <mergeCell ref="C139:E139"/>
    <mergeCell ref="G139:I139"/>
    <mergeCell ref="K139:M139"/>
    <mergeCell ref="C140:E140"/>
    <mergeCell ref="G140:I140"/>
    <mergeCell ref="K140:M140"/>
    <mergeCell ref="C135:E135"/>
    <mergeCell ref="G135:I135"/>
    <mergeCell ref="K135:M135"/>
    <mergeCell ref="C136:E136"/>
    <mergeCell ref="G136:I136"/>
    <mergeCell ref="K136:M136"/>
    <mergeCell ref="C137:E137"/>
    <mergeCell ref="G137:I137"/>
    <mergeCell ref="K137:M137"/>
    <mergeCell ref="C132:E132"/>
    <mergeCell ref="G132:I132"/>
    <mergeCell ref="K132:M132"/>
    <mergeCell ref="C133:E133"/>
    <mergeCell ref="G133:I133"/>
    <mergeCell ref="K133:M133"/>
    <mergeCell ref="C134:E134"/>
    <mergeCell ref="G134:I134"/>
    <mergeCell ref="K134:M134"/>
    <mergeCell ref="C128:E128"/>
    <mergeCell ref="G128:I128"/>
    <mergeCell ref="K128:M128"/>
    <mergeCell ref="C129:E129"/>
    <mergeCell ref="G129:I129"/>
    <mergeCell ref="K129:M129"/>
    <mergeCell ref="B131:E131"/>
    <mergeCell ref="G131:I131"/>
    <mergeCell ref="K131:M131"/>
    <mergeCell ref="C125:E125"/>
    <mergeCell ref="G125:I125"/>
    <mergeCell ref="K125:M125"/>
    <mergeCell ref="C126:E126"/>
    <mergeCell ref="G126:I126"/>
    <mergeCell ref="K126:M126"/>
    <mergeCell ref="C127:E127"/>
    <mergeCell ref="G127:I127"/>
    <mergeCell ref="K127:M127"/>
    <mergeCell ref="K121:M121"/>
    <mergeCell ref="C122:E122"/>
    <mergeCell ref="G122:I122"/>
    <mergeCell ref="K122:M122"/>
    <mergeCell ref="C123:E123"/>
    <mergeCell ref="G123:I123"/>
    <mergeCell ref="K123:M123"/>
    <mergeCell ref="C124:E124"/>
    <mergeCell ref="G124:I124"/>
    <mergeCell ref="K124:M124"/>
    <mergeCell ref="K146:M146"/>
    <mergeCell ref="K147:M147"/>
    <mergeCell ref="K148:M148"/>
    <mergeCell ref="K149:M149"/>
    <mergeCell ref="K150:M150"/>
    <mergeCell ref="B33:E33"/>
    <mergeCell ref="G33:I33"/>
    <mergeCell ref="K33:M33"/>
    <mergeCell ref="B47:E47"/>
    <mergeCell ref="G47:I47"/>
    <mergeCell ref="K47:M47"/>
    <mergeCell ref="B117:E117"/>
    <mergeCell ref="G117:I117"/>
    <mergeCell ref="K117:M117"/>
    <mergeCell ref="C118:E118"/>
    <mergeCell ref="G118:I118"/>
    <mergeCell ref="K118:M118"/>
    <mergeCell ref="C119:E119"/>
    <mergeCell ref="G119:I119"/>
    <mergeCell ref="K119:M119"/>
    <mergeCell ref="C120:E120"/>
    <mergeCell ref="G120:I120"/>
    <mergeCell ref="K120:M120"/>
    <mergeCell ref="C121:E121"/>
    <mergeCell ref="K145:M145"/>
    <mergeCell ref="G152:I152"/>
    <mergeCell ref="G153:H153"/>
    <mergeCell ref="G151:H151"/>
    <mergeCell ref="G155:H155"/>
    <mergeCell ref="K48:M48"/>
    <mergeCell ref="K49:M49"/>
    <mergeCell ref="K50:M50"/>
    <mergeCell ref="K51:M51"/>
    <mergeCell ref="K52:M52"/>
    <mergeCell ref="K53:M53"/>
    <mergeCell ref="K54:M54"/>
    <mergeCell ref="K55:M55"/>
    <mergeCell ref="K56:M56"/>
    <mergeCell ref="K57:M57"/>
    <mergeCell ref="K58:M58"/>
    <mergeCell ref="K59:M59"/>
    <mergeCell ref="G146:I146"/>
    <mergeCell ref="G147:I147"/>
    <mergeCell ref="G148:I148"/>
    <mergeCell ref="K152:M152"/>
    <mergeCell ref="K151:L151"/>
    <mergeCell ref="K153:L153"/>
    <mergeCell ref="K155:L155"/>
    <mergeCell ref="G57:I57"/>
    <mergeCell ref="G58:I58"/>
    <mergeCell ref="G59:I59"/>
    <mergeCell ref="G145:I145"/>
    <mergeCell ref="G51:I51"/>
    <mergeCell ref="G52:I52"/>
    <mergeCell ref="G53:I53"/>
    <mergeCell ref="G54:I54"/>
    <mergeCell ref="G55:I55"/>
    <mergeCell ref="G121:I121"/>
    <mergeCell ref="B153:D153"/>
    <mergeCell ref="B155:D155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C40:E40"/>
    <mergeCell ref="C41:E41"/>
    <mergeCell ref="C42:E42"/>
    <mergeCell ref="C43:E43"/>
    <mergeCell ref="C44:E44"/>
    <mergeCell ref="B147:E147"/>
    <mergeCell ref="B148:E148"/>
    <mergeCell ref="B149:E149"/>
    <mergeCell ref="G149:I149"/>
    <mergeCell ref="G150:I150"/>
    <mergeCell ref="B150:E150"/>
    <mergeCell ref="B152:E152"/>
    <mergeCell ref="C57:E57"/>
    <mergeCell ref="C58:E58"/>
    <mergeCell ref="C59:E59"/>
    <mergeCell ref="B145:E145"/>
    <mergeCell ref="B146:E146"/>
    <mergeCell ref="D5:E5"/>
    <mergeCell ref="D7:E7"/>
    <mergeCell ref="D8:E8"/>
    <mergeCell ref="D9:E9"/>
    <mergeCell ref="D10:E10"/>
    <mergeCell ref="C34:E34"/>
    <mergeCell ref="C35:E35"/>
    <mergeCell ref="C36:E36"/>
    <mergeCell ref="C37:E37"/>
    <mergeCell ref="C38:E38"/>
    <mergeCell ref="C39:E39"/>
    <mergeCell ref="C48:E48"/>
    <mergeCell ref="C49:E49"/>
    <mergeCell ref="C50:E50"/>
    <mergeCell ref="C51:E51"/>
    <mergeCell ref="C45:E45"/>
    <mergeCell ref="B151:D151"/>
    <mergeCell ref="G48:I48"/>
    <mergeCell ref="G49:I49"/>
    <mergeCell ref="G50:I50"/>
    <mergeCell ref="C52:E52"/>
    <mergeCell ref="C53:E53"/>
    <mergeCell ref="C54:E54"/>
    <mergeCell ref="C55:E55"/>
    <mergeCell ref="C56:E56"/>
    <mergeCell ref="K39:M39"/>
    <mergeCell ref="K40:M40"/>
    <mergeCell ref="K41:M41"/>
    <mergeCell ref="G56:I56"/>
    <mergeCell ref="K42:M42"/>
    <mergeCell ref="K43:M43"/>
    <mergeCell ref="K44:M44"/>
    <mergeCell ref="K45:M45"/>
    <mergeCell ref="K35:M35"/>
    <mergeCell ref="K36:M36"/>
    <mergeCell ref="K37:M37"/>
    <mergeCell ref="K38:M38"/>
    <mergeCell ref="A1:A2"/>
    <mergeCell ref="B1:E1"/>
    <mergeCell ref="G1:I1"/>
    <mergeCell ref="K1:M1"/>
    <mergeCell ref="K34:M34"/>
    <mergeCell ref="B3:D3"/>
    <mergeCell ref="G3:H3"/>
  </mergeCells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Biswas</dc:creator>
  <cp:lastModifiedBy>Daniel Biswas</cp:lastModifiedBy>
  <dcterms:created xsi:type="dcterms:W3CDTF">2026-03-31T01:56:35Z</dcterms:created>
  <dcterms:modified xsi:type="dcterms:W3CDTF">2026-04-28T15:18:24Z</dcterms:modified>
</cp:coreProperties>
</file>